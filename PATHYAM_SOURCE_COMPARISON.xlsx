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Weights" sheetId="2" state="visible" r:id="rId4"/>
    <sheet name="Scoring Matrix" sheetId="3" state="visible" r:id="rId5"/>
    <sheet name="Source Master" sheetId="4" state="visible" r:id="rId6"/>
    <sheet name="Licence &amp; Risk" sheetId="5" state="visible" r:id="rId7"/>
    <sheet name="Acquisition Tracker" sheetId="6" state="visible" r:id="rId8"/>
  </sheets>
  <definedNames>
    <definedName function="false" hidden="true" localSheetId="4" name="_xlnm._FilterDatabase" vbProcedure="false">'Licence &amp; Risk'!$A$4:$J$20</definedName>
    <definedName function="false" hidden="true" localSheetId="2" name="_xlnm._FilterDatabase" vbProcedure="false">'Scoring Matrix'!$A$4:$P$30</definedName>
    <definedName function="false" hidden="true" localSheetId="3" name="_xlnm._FilterDatabase" vbProcedure="false">'Source Master'!$A$4:$J$40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<sst xmlns="http://schemas.openxmlformats.org/spreadsheetml/2006/main" count="835" uniqueCount="596">
  <si>
    <t xml:space="preserve">PATHYAM — Nutrition Data Source Comparison</t>
  </si>
  <si>
    <t xml:space="preserve">Companion to PATHYAM_RESEARCH_DOSSIER.md · Regional South Indian calorie &amp; nutrition tracker (Tamil · Telugu · Malayalam · Kannada)</t>
  </si>
  <si>
    <t xml:space="preserve">Built 12 August 2026</t>
  </si>
  <si>
    <t xml:space="preserve">WHAT THIS WORKBOOK IS FOR</t>
  </si>
  <si>
    <t xml:space="preserve">A decision tool for choosing which nutrition data sources Pathyam builds on, and for tracking the legal work that has to happen before any of them can be used commercially.</t>
  </si>
  <si>
    <t xml:space="preserve">TABS</t>
  </si>
  <si>
    <t xml:space="preserve">Weights</t>
  </si>
  <si>
    <t xml:space="preserve">The ten scoring criteria and their weights. THIS IS THE ONLY TAB YOU EDIT to re-run the analysis. Change a weight in the yellow cells and every score and rank on 'Scoring Matrix' updates.</t>
  </si>
  <si>
    <t xml:space="preserve">Scoring Matrix</t>
  </si>
  <si>
    <t xml:space="preserve">25 candidate data sources scored 0–5 on each criterion, weighted, ranked. Scores are editable; the weighted total, score % and rank are formulas.</t>
  </si>
  <si>
    <t xml:space="preserve">Source Master</t>
  </si>
  <si>
    <t xml:space="preserve">All 36 sources catalogued — including the ones deliberately NOT scored (regulators, reference standards, surveys, tooling), with a note explaining why each was excluded.</t>
  </si>
  <si>
    <t xml:space="preserve">Licence &amp; Risk</t>
  </si>
  <si>
    <t xml:space="preserve">Licence terms, risk level, specific hazard, mitigation and required action per source. Read the top two rows before anything else.</t>
  </si>
  <si>
    <t xml:space="preserve">Acquisition Tracker</t>
  </si>
  <si>
    <t xml:space="preserve">15 sequenced actions with owner, target week and status. Update the Status column as you go.</t>
  </si>
  <si>
    <t xml:space="preserve">HOW THE SCORE WORKS</t>
  </si>
  <si>
    <t xml:space="preserve">Weighted score (0–5)  =  SUMPRODUCT(the source's ten scores, the ten weights)</t>
  </si>
  <si>
    <t xml:space="preserve">Score %  =  weighted score ÷ 5.   Rank is descending by weighted score.</t>
  </si>
  <si>
    <t xml:space="preserve">Weights sum to 100%. The default weighting reflects the agreed strategy: dataset-first, South-Indian-specific, provenance as the moat. South Indian coverage carries the heaviest weight (25%) because a source with excellent data and zero South Indian relevance cannot be primary, however good it is.</t>
  </si>
  <si>
    <t xml:space="preserve">HOW TO READ THE RANKING</t>
  </si>
  <si>
    <t xml:space="preserve">The ranking answers one question: 'which source should Pathyam build its core dataset on?' It does NOT rank sources by quality in the abstract. USDA FoodData Central is a better-engineered database than anything in India and still ranks mid-table here, because it contains no South Indian food. That is the correct answer to the question being asked.</t>
  </si>
  <si>
    <t xml:space="preserve">A LOW RANK DOES NOT MEAN DISPENSABLE. Three sources rank in the bottom half and are still mandatory: the USDA Nutrient Retention Factors (R6), the FAO/INFOODS guidelines, and Bognár's yield tables. They score near zero on coverage criteria because they contain no foods at all — they are cooking factors and methodology. You cannot compute a single cooked dish without them. Read the Verdict column, not just the rank.</t>
  </si>
  <si>
    <t xml:space="preserve">Two rows are included specifically because they are instructive rather than usable:</t>
  </si>
  <si>
    <t xml:space="preserve">   · HealthifyMe scores maximum on coverage and zero on provenance and licence — the clearest possible demonstration that breadth alone is not a moat.</t>
  </si>
  <si>
    <t xml:space="preserve">   · Open Food Facts scores well on access and badly on licence — it is a hazard, not a resource. See Licence &amp; Risk.</t>
  </si>
  <si>
    <t xml:space="preserve">COLOUR CONVENTION</t>
  </si>
  <si>
    <t xml:space="preserve">Yellow fill = you edit this.   Blue text = hardcoded input.   Green text = links to another sheet.   Black = formula.</t>
  </si>
  <si>
    <t xml:space="preserve">THE TWO THINGS THAT MATTER MOST</t>
  </si>
  <si>
    <t xml:space="preserve">1. The ICMR-NIN licence position is unresolved and everything downstream depends on it. Send the letter this week.</t>
  </si>
  <si>
    <t xml:space="preserve">2. Open Food Facts' ODbL share-alike clause would force you to open-source Pathyam-DB if it is ever merged into the core table. Architect the separation before anyone writes an ingestion script.</t>
  </si>
  <si>
    <t xml:space="preserve">Scoring criteria and weights</t>
  </si>
  <si>
    <t xml:space="preserve">Edit the yellow cells only. Weights must sum to 100% — the check cell below turns red if they do not.</t>
  </si>
  <si>
    <t xml:space="preserve">ID</t>
  </si>
  <si>
    <t xml:space="preserve">Criterion</t>
  </si>
  <si>
    <t xml:space="preserve">Weight</t>
  </si>
  <si>
    <t xml:space="preserve">What a 5 means / how to score</t>
  </si>
  <si>
    <t xml:space="preserve">C1</t>
  </si>
  <si>
    <t xml:space="preserve">South Indian coverage</t>
  </si>
  <si>
    <t xml:space="preserve">Does it contain Tamil/Telugu/Malayalam/Kannada foods, ingredients or dishes — and are regional variants distinguishable?</t>
  </si>
  <si>
    <t xml:space="preserve">C2</t>
  </si>
  <si>
    <t xml:space="preserve">Recipe / cooked-dish level</t>
  </si>
  <si>
    <t xml:space="preserve">Cooked, composite dishes as consumed — not just raw ingredients. 0 = raw only, 5 = full recipe database.</t>
  </si>
  <si>
    <t xml:space="preserve">C3</t>
  </si>
  <si>
    <t xml:space="preserve">Per-serving &amp; household units</t>
  </si>
  <si>
    <t xml:space="preserve">Serving sizes, katori/count-based units, edible portion weights. Not just per-100g.</t>
  </si>
  <si>
    <t xml:space="preserve">C4</t>
  </si>
  <si>
    <t xml:space="preserve">Micronutrient / component depth</t>
  </si>
  <si>
    <t xml:space="preserve">Beyond macros: vitamins, minerals, fatty acids, amino acids, polyphenols, phytate.</t>
  </si>
  <si>
    <t xml:space="preserve">C5</t>
  </si>
  <si>
    <t xml:space="preserve">Provenance &amp; method docs</t>
  </si>
  <si>
    <t xml:space="preserve">Is each value traceable to a sampling plan, analytical method and citation?</t>
  </si>
  <si>
    <t xml:space="preserve">C6</t>
  </si>
  <si>
    <t xml:space="preserve">Commercial licence clarity</t>
  </si>
  <si>
    <t xml:space="preserve">5 = clean permissive/public domain. 0 = unusable or legally hazardous (incl. share-alike contamination).</t>
  </si>
  <si>
    <t xml:space="preserve">C7</t>
  </si>
  <si>
    <t xml:space="preserve">Machine readability / API</t>
  </si>
  <si>
    <t xml:space="preserve">Structured download or API vs PDF-only. 0 = PDF/print, 5 = documented API + bulk files.</t>
  </si>
  <si>
    <t xml:space="preserve">C8</t>
  </si>
  <si>
    <t xml:space="preserve">Maintenance &amp; update cadence</t>
  </si>
  <si>
    <t xml:space="preserve">Is it actively updated, or frozen at publication?</t>
  </si>
  <si>
    <t xml:space="preserve">C9</t>
  </si>
  <si>
    <t xml:space="preserve">Regional-language support</t>
  </si>
  <si>
    <t xml:space="preserve">Native-script or romanised food names in ta/te/ml/kn.</t>
  </si>
  <si>
    <t xml:space="preserve">C10</t>
  </si>
  <si>
    <t xml:space="preserve">Cost to acquire (5 = free)</t>
  </si>
  <si>
    <t xml:space="preserve">5 = free/open. 1 = enterprise contract. Acquisition cost only, not integration effort.</t>
  </si>
  <si>
    <t xml:space="preserve">TOTAL (must equal 100%)</t>
  </si>
  <si>
    <t xml:space="preserve">Check</t>
  </si>
  <si>
    <t xml:space="preserve">Scoring scale for every criterion: 0 = absent · 1 = minimal · 2 = partial · 3 = adequate · 4 = strong · 5 = best available anywhere.</t>
  </si>
  <si>
    <t xml:space="preserve">Note on C6 (licence): score the RISK-ADJUSTED usability, not the generosity of the wording. Open Food Facts is freely available and scores 1, because share-alike makes it commercially hazardous.</t>
  </si>
  <si>
    <t xml:space="preserve">Scoring matrix — candidate data sources</t>
  </si>
  <si>
    <t xml:space="preserve">Scores 0–5 (editable, blue). Weight row links to the Weights tab (green). Weighted / Score % / Rank are formulas. Sorted by weighted score at build time; re-sort manually after editing.</t>
  </si>
  <si>
    <t xml:space="preserve">Source</t>
  </si>
  <si>
    <t xml:space="preserve">Role</t>
  </si>
  <si>
    <t xml:space="preserve">C1
South Indian coverage</t>
  </si>
  <si>
    <t xml:space="preserve">C2
Recipe / cooked-dish level</t>
  </si>
  <si>
    <t xml:space="preserve">C3
Per-serving &amp; household units</t>
  </si>
  <si>
    <t xml:space="preserve">C4
Micronutrient / component depth</t>
  </si>
  <si>
    <t xml:space="preserve">C5
Provenance &amp; method docs</t>
  </si>
  <si>
    <t xml:space="preserve">C6
Commercial licence clarity</t>
  </si>
  <si>
    <t xml:space="preserve">C7
Machine readability / API</t>
  </si>
  <si>
    <t xml:space="preserve">C8
Maintenance &amp; update cadence</t>
  </si>
  <si>
    <t xml:space="preserve">C9
Regional-language support</t>
  </si>
  <si>
    <t xml:space="preserve">C10
Cost to acquire (5 = free)</t>
  </si>
  <si>
    <t xml:space="preserve">Weighted (0-5)</t>
  </si>
  <si>
    <t xml:space="preserve">Score %</t>
  </si>
  <si>
    <t xml:space="preserve">Rank</t>
  </si>
  <si>
    <t xml:space="preserve">Verdict / how to use</t>
  </si>
  <si>
    <t xml:space="preserve">Weight  (edit on 'Weights' tab)  →</t>
  </si>
  <si>
    <t xml:space="preserve">Indian Nutrient Databank (INDB) — 1,014 recipes</t>
  </si>
  <si>
    <t xml:space="preserve">Recipe database</t>
  </si>
  <si>
    <t xml:space="preserve">PRIMARY SUBSTRATE. Only recipe-level Indian database in existence, with per-serving values and a published method. South Indian subset is thin — that gap is Pathyam's Phase 1.</t>
  </si>
  <si>
    <t xml:space="preserve">South Indian GI/GL literature corpus</t>
  </si>
  <si>
    <t xml:space="preserve">Primary literature</t>
  </si>
  <si>
    <t xml:space="preserve">HIGHEST South Indian specificity of anything available. Shakappa 2022 (23 breakfast foods) + IJMR + CFTRI. Manual extraction, ~2 weeks. Clinical differentiator.</t>
  </si>
  <si>
    <t xml:space="preserve">ifct2017 npm / Zenodo corpus (Sahu)</t>
  </si>
  <si>
    <t xml:space="preserve">Composition (derived)</t>
  </si>
  <si>
    <t xml:space="preserve">Machine-readable IFCT with 22 tables incl. local-language names, analytical methods, Jones factors, energy conversion factors. Code is MIT; underlying data rights are NOT.</t>
  </si>
  <si>
    <t xml:space="preserve">USDA FNDDS (portion weights)</t>
  </si>
  <si>
    <t xml:space="preserve">Portion reference</t>
  </si>
  <si>
    <t xml:space="preserve">Gram weights per household measure. Methodological template for the katori/count ontology — do not import the values.</t>
  </si>
  <si>
    <t xml:space="preserve">INDB — stage 1 ingredients (n=1,095)</t>
  </si>
  <si>
    <t xml:space="preserve">IFCT 2017 → IFCT 2004 → CoFID → USDA fallback chain, already resolved. Saves months of matching work.</t>
  </si>
  <si>
    <t xml:space="preserve">FSANZ AUSNUT 2011-13 / NUTTAB</t>
  </si>
  <si>
    <t xml:space="preserve">Composition (foreign)</t>
  </si>
  <si>
    <t xml:space="preserve">CC-BY. Contains Indian-cuisine composite dishes from the Australian survey — useful independent cross-check on your computed recipe values.</t>
  </si>
  <si>
    <t xml:space="preserve">USDA FoodData Central</t>
  </si>
  <si>
    <t xml:space="preserve">Best-engineered FCT in the world; zero South Indian relevance. Use strictly for gap-fill ingredients and as an API design reference.</t>
  </si>
  <si>
    <t xml:space="preserve">UK CoFID 2021 (McCance &amp; Widdowson)</t>
  </si>
  <si>
    <t xml:space="preserve">OGL v3 — cleanest licence of any major FCT. INDB already borrows 144 ingredients from it. Some South Asian items via the UK diet.</t>
  </si>
  <si>
    <t xml:space="preserve">Danish Frida (DTU Food)</t>
  </si>
  <si>
    <t xml:space="preserve">Excellent micronutrient depth and open licence. Gap-fill only.</t>
  </si>
  <si>
    <t xml:space="preserve">ICMR-NIN IFCT 2017</t>
  </si>
  <si>
    <t xml:space="preserve">Composition (reference)</t>
  </si>
  <si>
    <t xml:space="preserve">The authoritative Indian table and the source of truth — but raw-ingredient only and regionally composited. Structurally cannot answer 'how many calories in this dosa'.</t>
  </si>
  <si>
    <t xml:space="preserve">HealthifyMe</t>
  </si>
  <si>
    <t xml:space="preserve">Competitor benchmark</t>
  </si>
  <si>
    <t xml:space="preserve">THE INSTRUCTIVE ROW: maximum coverage, zero provenance, zero licence. Proves breadth alone is not a moat — and is unusable for clinical or research work.</t>
  </si>
  <si>
    <t xml:space="preserve">FAO/INFOODS guidelines + compilation tool 1.2.1</t>
  </si>
  <si>
    <t xml:space="preserve">Method / standard</t>
  </si>
  <si>
    <t xml:space="preserve">MANDATORY. Tagnames, food matching, data checking, recipe calculation. Adopt before writing a single row.</t>
  </si>
  <si>
    <t xml:space="preserve">Norwegian Matvaretabellen</t>
  </si>
  <si>
    <t xml:space="preserve">Data-model and portal reference — INDB's design was explicitly modelled on it. Low data value here.</t>
  </si>
  <si>
    <t xml:space="preserve">Bangladesh FCT (INFOODS-hosted)</t>
  </si>
  <si>
    <t xml:space="preserve">Composition (regional)</t>
  </si>
  <si>
    <t xml:space="preserve">Shares real South Asian items — coconut, jackfruit, tamarind, small fish. Under-used by Indian compilers.</t>
  </si>
  <si>
    <t xml:space="preserve">Nutritionix API</t>
  </si>
  <si>
    <t xml:space="preserve">Commercial API</t>
  </si>
  <si>
    <t xml:space="preserve">~$1,850/mo enterprise. Strong NLP, 1.9M items, weak Indian home cooking. Consider only for branded/packaged in a late phase.</t>
  </si>
  <si>
    <t xml:space="preserve">Health Canada CNF</t>
  </si>
  <si>
    <t xml:space="preserve">Minor gap-fill. Open Government Licence – Canada.</t>
  </si>
  <si>
    <t xml:space="preserve">Nutrify India Now 2.0 (ICMR-NIN app)</t>
  </si>
  <si>
    <t xml:space="preserve">App / benchmark</t>
  </si>
  <si>
    <t xml:space="preserve">Not licensable. Treat as the government benchmark for language coverage (17 languages) and as validation ground truth.</t>
  </si>
  <si>
    <t xml:space="preserve">FatSecret Platform API</t>
  </si>
  <si>
    <t xml:space="preserve">Has an India presence but crowd-sourced quality. Custom contract.</t>
  </si>
  <si>
    <t xml:space="preserve">ICMR-NIN IFCT 2004 (Gopalan et al.)</t>
  </si>
  <si>
    <t xml:space="preserve">Composition (legacy)</t>
  </si>
  <si>
    <t xml:space="preserve">Gap-fill where IFCT 2017 is silent — INDB does exactly this. Older analytical methods; tier C. Must be requested from NIN.</t>
  </si>
  <si>
    <t xml:space="preserve">Edamam API</t>
  </si>
  <si>
    <t xml:space="preserve">From ~$299/mo. Negligible Indian regional coverage.</t>
  </si>
  <si>
    <t xml:space="preserve">Spoonacular API</t>
  </si>
  <si>
    <t xml:space="preserve">Food API from ~$300/mo. Recipe-oriented, Western. Not relevant.</t>
  </si>
  <si>
    <t xml:space="preserve">USDA Nutrient Retention Factors, Release 6</t>
  </si>
  <si>
    <t xml:space="preserve">Cooking factors</t>
  </si>
  <si>
    <t xml:space="preserve">MANDATORY. Nutrient loss by cooking method. INDB already uses it. Public domain.</t>
  </si>
  <si>
    <t xml:space="preserve">Open Food Facts</t>
  </si>
  <si>
    <t xml:space="preserve">Packaged foods</t>
  </si>
  <si>
    <t xml:space="preserve">⚠ ODbL SHARE-ALIKE. Do NOT merge into the core table. Separate barcode service, runtime query only. See Licence &amp; Risk tab.</t>
  </si>
  <si>
    <t xml:space="preserve">ASEANFOODS regional table</t>
  </si>
  <si>
    <t xml:space="preserve">Coconut, tamarind, tropical produce. Marginal but occasionally the only source.</t>
  </si>
  <si>
    <t xml:space="preserve">Bognár (2002) yield &amp; retention tables</t>
  </si>
  <si>
    <t xml:space="preserve">Second retention source for cross-checking USDA R6. Print publication; harder to obtain.</t>
  </si>
  <si>
    <t xml:space="preserve">Excluded from scoring by design: regulators (FSSAI, FDA, EFSA, MHRA, TGA), reference standards (ICMR RDA 2020, DGI 2024), consumption surveys (NNMB/NFHS-5/CNNS), and tooling (AI4Bharat, image datasets). They are essential to the project but are not candidate composition sources — scoring them on 'South Indian dish coverage' would be meaningless. All are catalogued on 'Source Master' with a reason.</t>
  </si>
  <si>
    <t xml:space="preserve">Source master catalogue — all 36 sources</t>
  </si>
  <si>
    <t xml:space="preserve">Includes sources deliberately excluded from the scoring matrix, with the reason stated in the Notes column.</t>
  </si>
  <si>
    <t xml:space="preserve">Custodian</t>
  </si>
  <si>
    <t xml:space="preserve">Scope / size</t>
  </si>
  <si>
    <t xml:space="preserve">Access method</t>
  </si>
  <si>
    <t xml:space="preserve">Licence</t>
  </si>
  <si>
    <t xml:space="preserve">Cost</t>
  </si>
  <si>
    <t xml:space="preserve">Last updated</t>
  </si>
  <si>
    <t xml:space="preserve">URL</t>
  </si>
  <si>
    <t xml:space="preserve">Notes / why scored or not</t>
  </si>
  <si>
    <t xml:space="preserve">ICMR-National Institute of Nutrition, Hyderabad</t>
  </si>
  <si>
    <t xml:space="preserve">528 foods x 151 components; 6-region composite sampling</t>
  </si>
  <si>
    <t xml:space="preserve">Free PDF; npm/Zenodo corpus; Kaggle mirror</t>
  </si>
  <si>
    <t xml:space="preserve">Not stated — ICMR copyright</t>
  </si>
  <si>
    <t xml:space="preserve">Free to read</t>
  </si>
  <si>
    <t xml:space="preserve">2017</t>
  </si>
  <si>
    <t xml:space="preserve">https://www.nin.res.in/ebooks/IFCT2017.pdf</t>
  </si>
  <si>
    <t xml:space="preserve">Raw ingredients only. Regional averaging is the core structural problem for Pathyam.</t>
  </si>
  <si>
    <t xml:space="preserve">ifct2017 npm / Zenodo corpus</t>
  </si>
  <si>
    <t xml:space="preserve">Subhajit Sahu (wolfram77), community</t>
  </si>
  <si>
    <t xml:space="preserve">22 tables: compositions, columns, descriptions, methods, energies, jonesFactors, regions, intakes...</t>
  </si>
  <si>
    <t xml:space="preserve">npm, unpkg, jsDelivr, Zenodo zip</t>
  </si>
  <si>
    <t xml:space="preserve">npm packages MIT; Zenodo v2.0.10 'Other (Open)'</t>
  </si>
  <si>
    <t xml:space="preserve">Free</t>
  </si>
  <si>
    <t xml:space="preserve">v2.0.10, Sep 2022</t>
  </si>
  <si>
    <t xml:space="preserve">https://zenodo.org/records/7088653</t>
  </si>
  <si>
    <t xml:space="preserve">`descriptions` module carries Tam./Tel./Mal./Kan. food names — free seed for the lexicon.</t>
  </si>
  <si>
    <t xml:space="preserve">ICMR-NIN</t>
  </si>
  <si>
    <t xml:space="preserve">Nutritive Value of Indian Foods, revised edn</t>
  </si>
  <si>
    <t xml:space="preserve">Request from NIN</t>
  </si>
  <si>
    <t xml:space="preserve">ICMR copyright</t>
  </si>
  <si>
    <t xml:space="preserve">Request</t>
  </si>
  <si>
    <t xml:space="preserve">2004 rev.</t>
  </si>
  <si>
    <t xml:space="preserve">https://www.nin.res.in/</t>
  </si>
  <si>
    <t xml:space="preserve">INDB uses it for gap-fill. Tier C confidence.</t>
  </si>
  <si>
    <t xml:space="preserve">Indian Nutrient Databank (INDB)</t>
  </si>
  <si>
    <t xml:space="preserve">Anuvaad Solutions LLP / Univ. of Edinburgh (Jaacks)</t>
  </si>
  <si>
    <t xml:space="preserve">1,095 ingredients + 1,014 recipes; per-100g AND per-serving</t>
  </si>
  <si>
    <t xml:space="preserve">Direct xlsx download; Stata code on GitHub</t>
  </si>
  <si>
    <t xml:space="preserve">Described 'open access'; no explicit licence file</t>
  </si>
  <si>
    <t xml:space="preserve">Nov 2024 build</t>
  </si>
  <si>
    <t xml:space="preserve">https://www.anuvaad.org.in/indian-nutrient-databank/</t>
  </si>
  <si>
    <t xml:space="preserve">Gates-funded. Method paper: Curr Dev Nutr 2024;103790. CONFIRM COMMERCIAL TERMS IN WRITING.</t>
  </si>
  <si>
    <t xml:space="preserve">INDB code repository</t>
  </si>
  <si>
    <t xml:space="preserve">lindsayjaacks (GitHub)</t>
  </si>
  <si>
    <t xml:space="preserve">Method / code</t>
  </si>
  <si>
    <t xml:space="preserve">INDB.do (Stata), UK_fct, US_fct, recipes, units, servingsize, USDA_nrf</t>
  </si>
  <si>
    <t xml:space="preserve">GitHub clone</t>
  </si>
  <si>
    <t xml:space="preserve">No LICENSE file present</t>
  </si>
  <si>
    <t xml:space="preserve">54 commits</t>
  </si>
  <si>
    <t xml:space="preserve">https://github.com/lindsayjaacks/Indian-Nutrient-Databank-INDB-</t>
  </si>
  <si>
    <t xml:space="preserve">Port to Python as your recipe-engine validation harness. Ships derived data, not licensed inputs.</t>
  </si>
  <si>
    <t xml:space="preserve">Nutrify India Now 2.0</t>
  </si>
  <si>
    <t xml:space="preserve">IFCT-based; search in 17 languages; 6 food groups; BMR/BMI/energy balance</t>
  </si>
  <si>
    <t xml:space="preserve">Google Play</t>
  </si>
  <si>
    <t xml:space="preserve">App EULA — no data reuse</t>
  </si>
  <si>
    <t xml:space="preserve">2.0</t>
  </si>
  <si>
    <t xml:space="preserve">https://play.google.com/store/apps/details?id=com.nin20.nin2byo2i</t>
  </si>
  <si>
    <t xml:space="preserve">NOT SCORED as a data source — no reuse rights. Use as language-coverage benchmark and validation oracle.</t>
  </si>
  <si>
    <t xml:space="preserve">ICMR RDA 2020</t>
  </si>
  <si>
    <t xml:space="preserve">ICMR Expert Group</t>
  </si>
  <si>
    <t xml:space="preserve">Reference standard (targets)</t>
  </si>
  <si>
    <t xml:space="preserve">RDA/EAR by age, sex, physiological state</t>
  </si>
  <si>
    <t xml:space="preserve">Published report</t>
  </si>
  <si>
    <t xml:space="preserve">Government publication</t>
  </si>
  <si>
    <t xml:space="preserve">2020</t>
  </si>
  <si>
    <t xml:space="preserve">NOT SCORED — it sets targets, not composition. Legally operative: FSSAI mandated it from 1 Jul 2023. Use instead of US DRIs.</t>
  </si>
  <si>
    <t xml:space="preserve">Dietary Guidelines for Indians 2024</t>
  </si>
  <si>
    <t xml:space="preserve">Reference standard (diet quality)</t>
  </si>
  <si>
    <t xml:space="preserve">17 guidelines; My Plate; min. 8 food groups</t>
  </si>
  <si>
    <t xml:space="preserve">Free PDF</t>
  </si>
  <si>
    <t xml:space="preserve">May 2024</t>
  </si>
  <si>
    <t xml:space="preserve">https://nin.res.in/dietaryguidelines/pdfjs/locale/DGI_2024.pdf</t>
  </si>
  <si>
    <t xml:space="preserve">NOT SCORED — scaffold for the diet-quality score. Government-aligned metric no competitor uses.</t>
  </si>
  <si>
    <t xml:space="preserve">FSS (Labelling &amp; Display) Regulations 2020</t>
  </si>
  <si>
    <t xml:space="preserve">FSSAI</t>
  </si>
  <si>
    <t xml:space="preserve">Regulation</t>
  </si>
  <si>
    <t xml:space="preserve">Compendium version VII</t>
  </si>
  <si>
    <t xml:space="preserve">03 Apr 2025</t>
  </si>
  <si>
    <t xml:space="preserve">https://fssai.gov.in/upload/uploadfiles/files/Comp_Labelling%20Display_Version%20VII_03042025.pdf</t>
  </si>
  <si>
    <t xml:space="preserve">NOT SCORED — regulator, not a data source. Binds you the moment Pathyam renders a nutrition panel.</t>
  </si>
  <si>
    <t xml:space="preserve">FSSAI RDA declaration direction (2022)</t>
  </si>
  <si>
    <t xml:space="preserve">% RDA in bold for sugar, sat fat, sodium; claim thresholds &gt;=15% / &gt;=30%</t>
  </si>
  <si>
    <t xml:space="preserve">Mar 2022</t>
  </si>
  <si>
    <t xml:space="preserve">https://www.fssai.gov.in/upload/advisories/2022/03/6243ef28079ceDirection_Nutra_30_03_2022.pdf</t>
  </si>
  <si>
    <t xml:space="preserve">NOT SCORED. Governs any claim language in-app.</t>
  </si>
  <si>
    <t xml:space="preserve">Indian Nutrition Rating (INR) / FOPNL</t>
  </si>
  <si>
    <t xml:space="preserve">1/2 to 5 star front-of-pack rating</t>
  </si>
  <si>
    <t xml:space="preserve">Regulation text</t>
  </si>
  <si>
    <t xml:space="preserve">Ongoing</t>
  </si>
  <si>
    <t xml:space="preserve">https://www.fssai.gov.in/</t>
  </si>
  <si>
    <t xml:space="preserve">NOT SCORED. If Pathyam computes an INR score it must match FSSAI's algorithm exactly.</t>
  </si>
  <si>
    <t xml:space="preserve">NNMB / NSSO / NFHS-5 / CNNS</t>
  </si>
  <si>
    <t xml:space="preserve">MoHFW, MoSPI, ICMR</t>
  </si>
  <si>
    <t xml:space="preserve">Consumption survey</t>
  </si>
  <si>
    <t xml:space="preserve">Intake patterns, portion conventions, state-level deficiency prevalence</t>
  </si>
  <si>
    <t xml:space="preserve">Public reports/microdata</t>
  </si>
  <si>
    <t xml:space="preserve">NFHS-5 2019-21</t>
  </si>
  <si>
    <t xml:space="preserve">http://rchiips.org/nfhs/</t>
  </si>
  <si>
    <t xml:space="preserve">NOT SCORED — calibrates defaults and priors for TN/KL/KA/AP/TG, not composition values.</t>
  </si>
  <si>
    <t xml:space="preserve">South Indian GI/GL literature</t>
  </si>
  <si>
    <t xml:space="preserve">ICMR-NIN Dept of Dietetics; CSIR-CFTRI; IJMR</t>
  </si>
  <si>
    <t xml:space="preserve">Shakappa 2022: 23 breakfast foods, GI 36.89-79.69; plus CFTRI starch digestibility work</t>
  </si>
  <si>
    <t xml:space="preserve">PubMed / PMC free full text</t>
  </si>
  <si>
    <t xml:space="preserve">Facts citable; figures reusable with attribution</t>
  </si>
  <si>
    <t xml:space="preserve">2017-2022</t>
  </si>
  <si>
    <t xml:space="preserve">https://pubmed.ncbi.nlm.nih.gov/35875218/</t>
  </si>
  <si>
    <t xml:space="preserve">Authors are ICMR-NIN's own Dietetics dept — same institute that holds IFCT. One letter covers both asks.</t>
  </si>
  <si>
    <t xml:space="preserve">USDA ARS</t>
  </si>
  <si>
    <t xml:space="preserve">Foundation, SR Legacy, FNDDS, Branded</t>
  </si>
  <si>
    <t xml:space="preserve">REST API (free key) + bulk download</t>
  </si>
  <si>
    <t xml:space="preserve">US Government work — effectively public domain</t>
  </si>
  <si>
    <t xml:space="preserve">v14.3, 12 Mar 2026</t>
  </si>
  <si>
    <t xml:space="preserve">https://fdc.nal.usda.gov/</t>
  </si>
  <si>
    <t xml:space="preserve">Gap-fill ingredients; FNDDS portion weights; API design reference.</t>
  </si>
  <si>
    <t xml:space="preserve">USDA Nutrient Retention Factors R6</t>
  </si>
  <si>
    <t xml:space="preserve">USDA ARS / NAL</t>
  </si>
  <si>
    <t xml:space="preserve">% retention by food type x cooking method x nutrient</t>
  </si>
  <si>
    <t xml:space="preserve">Ag Data Commons download</t>
  </si>
  <si>
    <t xml:space="preserve">Public domain</t>
  </si>
  <si>
    <t xml:space="preserve">2007</t>
  </si>
  <si>
    <t xml:space="preserve">https://agdatacommons.nal.usda.gov/articles/dataset/USDA_Table_of_Nutrient_Retention_Factors_Release_6_2007_/24660888</t>
  </si>
  <si>
    <t xml:space="preserve">MANDATORY for recipe calculation. Already used by INDB.</t>
  </si>
  <si>
    <t xml:space="preserve">UK CoFID 2021</t>
  </si>
  <si>
    <t xml:space="preserve">OHID / Public Health England</t>
  </si>
  <si>
    <t xml:space="preserve">McCance &amp; Widdowson integrated dataset</t>
  </si>
  <si>
    <t xml:space="preserve">Free xlsx download</t>
  </si>
  <si>
    <t xml:space="preserve">Open Government Licence v3</t>
  </si>
  <si>
    <t xml:space="preserve">2021</t>
  </si>
  <si>
    <t xml:space="preserve">https://www.gov.uk/government/publications/composition-of-foods-integrated-dataset-cofid</t>
  </si>
  <si>
    <t xml:space="preserve">Cleanest licence of any major FCT. INDB borrows 144 ingredients from it.</t>
  </si>
  <si>
    <t xml:space="preserve">FAO/INFOODS guidelines &amp; tools</t>
  </si>
  <si>
    <t xml:space="preserve">FAO / INFOODS</t>
  </si>
  <si>
    <t xml:space="preserve">Food Matching v1.2; Data Checking; Compilation Tool 1.2.1 recipe spreadsheet; Greenfield &amp; Southgate</t>
  </si>
  <si>
    <t xml:space="preserve">Free PDF/xlsx</t>
  </si>
  <si>
    <t xml:space="preserve">FAO terms — free use</t>
  </si>
  <si>
    <t xml:space="preserve">Various</t>
  </si>
  <si>
    <t xml:space="preserve">https://www.fao.org/food-composition/en/</t>
  </si>
  <si>
    <t xml:space="preserve">NOT SCORED as data — it IS the methodology. Adopt tagnames and QC rules before building.</t>
  </si>
  <si>
    <t xml:space="preserve">Bognar (2002) yield/retention tables</t>
  </si>
  <si>
    <t xml:space="preserve">BFE Karlsruhe</t>
  </si>
  <si>
    <t xml:space="preserve">Weight yield and retention factors</t>
  </si>
  <si>
    <t xml:space="preserve">Print / library</t>
  </si>
  <si>
    <t xml:space="preserve">Copyright, published reference</t>
  </si>
  <si>
    <t xml:space="preserve">Purchase</t>
  </si>
  <si>
    <t xml:space="preserve">2002</t>
  </si>
  <si>
    <t xml:space="preserve">https://www.fao.org/</t>
  </si>
  <si>
    <t xml:space="preserve">Cross-check against USDA R6 where they disagree.</t>
  </si>
  <si>
    <t xml:space="preserve">Food Standards Australia New Zealand</t>
  </si>
  <si>
    <t xml:space="preserve">Australian survey foods incl. Indian-cuisine composites</t>
  </si>
  <si>
    <t xml:space="preserve">Free download</t>
  </si>
  <si>
    <t xml:space="preserve">CC-BY</t>
  </si>
  <si>
    <t xml:space="preserve">2011-13 / NUTTAB 2010</t>
  </si>
  <si>
    <t xml:space="preserve">https://www.foodstandards.gov.au/</t>
  </si>
  <si>
    <t xml:space="preserve">Independent cross-check on your computed Indian dish values.</t>
  </si>
  <si>
    <t xml:space="preserve">Danish Frida</t>
  </si>
  <si>
    <t xml:space="preserve">DTU Food</t>
  </si>
  <si>
    <t xml:space="preserve">Deep micronutrient coverage</t>
  </si>
  <si>
    <t xml:space="preserve">Web + download</t>
  </si>
  <si>
    <t xml:space="preserve">Open</t>
  </si>
  <si>
    <t xml:space="preserve">Updated regularly</t>
  </si>
  <si>
    <t xml:space="preserve">https://frida.fooddata.dk/</t>
  </si>
  <si>
    <t xml:space="preserve">Gap-fill; strong on trace elements.</t>
  </si>
  <si>
    <t xml:space="preserve">Norwegian Food Safety Authority</t>
  </si>
  <si>
    <t xml:space="preserve">Norwegian food composition table</t>
  </si>
  <si>
    <t xml:space="preserve">Web + API</t>
  </si>
  <si>
    <t xml:space="preserve">Open with attribution</t>
  </si>
  <si>
    <t xml:space="preserve">Annual</t>
  </si>
  <si>
    <t xml:space="preserve">https://www.matvaretabellen.no/</t>
  </si>
  <si>
    <t xml:space="preserve">Portal/data-model reference — INDB was modelled on it.</t>
  </si>
  <si>
    <t xml:space="preserve">Health Canada</t>
  </si>
  <si>
    <t xml:space="preserve">Canadian Nutrient File</t>
  </si>
  <si>
    <t xml:space="preserve">Download</t>
  </si>
  <si>
    <t xml:space="preserve">Open Government Licence - Canada</t>
  </si>
  <si>
    <t xml:space="preserve">2015+</t>
  </si>
  <si>
    <t xml:space="preserve">https://food-nutrition.canada.ca/cnf-fce/</t>
  </si>
  <si>
    <t xml:space="preserve">Minor gap-fill.</t>
  </si>
  <si>
    <t xml:space="preserve">Open Food Facts (non-profit)</t>
  </si>
  <si>
    <t xml:space="preserve">3M+ products, 200+ countries; barcode + panel data</t>
  </si>
  <si>
    <t xml:space="preserve">Free API, no key; bulk dumps</t>
  </si>
  <si>
    <t xml:space="preserve">ODbL — attribution + SHARE-ALIKE</t>
  </si>
  <si>
    <t xml:space="preserve">Continuous</t>
  </si>
  <si>
    <t xml:space="preserve">https://world.openfoodfacts.org/data</t>
  </si>
  <si>
    <t xml:space="preserve">HAZARD. Share-alike would force open-sourcing your derived DB. Architectural isolation required.</t>
  </si>
  <si>
    <t xml:space="preserve">Nutritionix</t>
  </si>
  <si>
    <t xml:space="preserve">1.9M+ items; NLP food logging</t>
  </si>
  <si>
    <t xml:space="preserve">REST API</t>
  </si>
  <si>
    <t xml:space="preserve">Commercial contract</t>
  </si>
  <si>
    <t xml:space="preserve">~$1,850/mo enterprise</t>
  </si>
  <si>
    <t xml:space="preserve">https://www.nutritionix.com/business/api</t>
  </si>
  <si>
    <t xml:space="preserve">Weak Indian home cooking. Late-phase branded-foods option only.</t>
  </si>
  <si>
    <t xml:space="preserve">Edamam</t>
  </si>
  <si>
    <t xml:space="preserve">615k UPCs + 10k generic</t>
  </si>
  <si>
    <t xml:space="preserve">Commercial</t>
  </si>
  <si>
    <t xml:space="preserve">from ~$299/mo</t>
  </si>
  <si>
    <t xml:space="preserve">https://www.edamam.com/</t>
  </si>
  <si>
    <t xml:space="preserve">Negligible Indian regional coverage.</t>
  </si>
  <si>
    <t xml:space="preserve">Spoonacular</t>
  </si>
  <si>
    <t xml:space="preserve">600k+ products; recipe-oriented</t>
  </si>
  <si>
    <t xml:space="preserve">from ~$300/mo (food API)</t>
  </si>
  <si>
    <t xml:space="preserve">https://spoonacular.com/food-api</t>
  </si>
  <si>
    <t xml:space="preserve">Western recipe focus. Not relevant.</t>
  </si>
  <si>
    <t xml:space="preserve">FatSecret</t>
  </si>
  <si>
    <t xml:space="preserve">Crowd-sourced; India presence</t>
  </si>
  <si>
    <t xml:space="preserve">Custom</t>
  </si>
  <si>
    <t xml:space="preserve">https://platform.fatsecret.com/</t>
  </si>
  <si>
    <t xml:space="preserve">Same provenance problem as HealthifyMe, less coverage.</t>
  </si>
  <si>
    <t xml:space="preserve">HealthifyMe (Khosla-backed)</t>
  </si>
  <si>
    <t xml:space="preserve">100k+ foods, 20k+ dishes, katori units, Snap photo logging, Ria AI</t>
  </si>
  <si>
    <t xml:space="preserve">Consumer app</t>
  </si>
  <si>
    <t xml:space="preserve">None — proprietary</t>
  </si>
  <si>
    <t xml:space="preserve">~Rs.999/mo Pro</t>
  </si>
  <si>
    <t xml:space="preserve">https://www.healthifyme.com/</t>
  </si>
  <si>
    <t xml:space="preserve">NOT LICENSABLE. Benchmark only. 12 years x 40M users of crowd-sourced entries with zero provenance.</t>
  </si>
  <si>
    <t xml:space="preserve">AI4Bharat IndicXlit / Aksharantar</t>
  </si>
  <si>
    <t xml:space="preserve">AI4Bharat, IIT Madras</t>
  </si>
  <si>
    <t xml:space="preserve">Tooling (language)</t>
  </si>
  <si>
    <t xml:space="preserve">21 Indic languages, 12 scripts; 26M word-pair corpus; ~11M param transformer</t>
  </si>
  <si>
    <t xml:space="preserve">pip install ai4bharat-transliteration; GitHub</t>
  </si>
  <si>
    <t xml:space="preserve">Active</t>
  </si>
  <si>
    <t xml:space="preserve">https://github.com/AI4Bharat/IndicXlit</t>
  </si>
  <si>
    <t xml:space="preserve">NOT SCORED — different modality. Roman&lt;-&gt;native script for ta/te/ml/kn. Seed, then human-verify.</t>
  </si>
  <si>
    <t xml:space="preserve">Indian food image datasets</t>
  </si>
  <si>
    <t xml:space="preserve">Various (IndianFood10, Food20, IndianFoodNet, Roboflow)</t>
  </si>
  <si>
    <t xml:space="preserve">Tooling (vision)</t>
  </si>
  <si>
    <t xml:space="preserve">IndianFoodNet ~5,500 images / 15,000+ annotations; Food20 2,000 images</t>
  </si>
  <si>
    <t xml:space="preserve">GitHub / Roboflow</t>
  </si>
  <si>
    <t xml:space="preserve">Varies by dataset — check each</t>
  </si>
  <si>
    <t xml:space="preserve">2022-2025</t>
  </si>
  <si>
    <t xml:space="preserve">https://universe.roboflow.com/indianfood/indian_food-pwzlc</t>
  </si>
  <si>
    <t xml:space="preserve">NOT SCORED — Phase 3. arXiv 2504.06925: VLMs fail on fine-grained cooking-style discrimination.</t>
  </si>
  <si>
    <t xml:space="preserve">FDA General Wellness Policy + RACC</t>
  </si>
  <si>
    <t xml:space="preserve">US FDA</t>
  </si>
  <si>
    <t xml:space="preserve">Revised final guidance 6 Jan 2026; CDS guidance; 21 CFR 101.12 serving sizes</t>
  </si>
  <si>
    <t xml:space="preserve">Jan 2026</t>
  </si>
  <si>
    <t xml:space="preserve">https://www.fda.gov/medical-devices/medical-devices-news-and-events/town-hall-general-wellness-policy-low-risk-devices-final-guidance-02112026</t>
  </si>
  <si>
    <t xml:space="preserve">NOT A DATA SOURCE. Defines the claims boundary that keeps Pathyam out of device regulation.</t>
  </si>
  <si>
    <t xml:space="preserve">EFSA claims register + EU FIC</t>
  </si>
  <si>
    <t xml:space="preserve">EFSA / European Commission</t>
  </si>
  <si>
    <t xml:space="preserve">Reg. (EC) 1924/2006 claims; Reg. (EU) 1169/2011 labelling; DRVs</t>
  </si>
  <si>
    <t xml:space="preserve">https://ec.europa.eu/food/safety/labelling-and-nutrition/nutrition-and-health-claims_en</t>
  </si>
  <si>
    <t xml:space="preserve">NOT A DATA SOURCE. NOTE: EFSA — not EMA — is the correct EU body for food. EMA only matters for drug claims.</t>
  </si>
  <si>
    <t xml:space="preserve">MHRA software as a medical device</t>
  </si>
  <si>
    <t xml:space="preserve">UK MHRA</t>
  </si>
  <si>
    <t xml:space="preserve">UK MDR 2002 as amended; Software &amp; AI as a Medical Device programme; UKCA</t>
  </si>
  <si>
    <t xml:space="preserve">https://www.gov.uk/government/collections/software-and-artificial-intelligence-ai-as-a-medical-device</t>
  </si>
  <si>
    <t xml:space="preserve">NOT A DATA SOURCE. Same claims boundary as FDA.</t>
  </si>
  <si>
    <t xml:space="preserve">TGA software-based medical devices</t>
  </si>
  <si>
    <t xml:space="preserve">Australian TGA</t>
  </si>
  <si>
    <t xml:space="preserve">Excluded/exempt categories for wellness software; Class IIa for diagnosis/treatment recommendations</t>
  </si>
  <si>
    <t xml:space="preserve">https://www.tga.gov.au/how-we-regulate/manufacturing/medical-devices/manufacturer-guidance-specific-types-medical-devices/software-based-medical-devices</t>
  </si>
  <si>
    <t xml:space="preserve">NOT A DATA SOURCE. Relevant only at export.</t>
  </si>
  <si>
    <t xml:space="preserve">NIH ODS DSLD / DSID; NCI ASA24 &amp; DHQ III</t>
  </si>
  <si>
    <t xml:space="preserve">US NIH</t>
  </si>
  <si>
    <t xml:space="preserve">Instrument / supplement data</t>
  </si>
  <si>
    <t xml:space="preserve">Supplement label database; validated 24h recall and FFQ instruments</t>
  </si>
  <si>
    <t xml:space="preserve">Free web tools</t>
  </si>
  <si>
    <t xml:space="preserve">https://dsld.od.nih.gov/</t>
  </si>
  <si>
    <t xml:space="preserve">NOT SCORED for composition. ASA24/DHQ are the models to copy for Pathyam's logging UX.</t>
  </si>
  <si>
    <t xml:space="preserve">DPDP Act 2023 + DPDP Rules 2025</t>
  </si>
  <si>
    <t xml:space="preserve">MeitY, Government of India</t>
  </si>
  <si>
    <t xml:space="preserve">Regulation (data)</t>
  </si>
  <si>
    <t xml:space="preserve">Rules notified 13 Nov 2025; phased compliance to 13 May 2027; 7-year consent records</t>
  </si>
  <si>
    <t xml:space="preserve">Nov 2025</t>
  </si>
  <si>
    <t xml:space="preserve">https://www.meity.gov.in/static/uploads/2024/06/2bf1f0e9f04e6fb4f8fef35e82c42aa5.pdf</t>
  </si>
  <si>
    <t xml:space="preserve">NOT A DATA SOURCE. Governs every user record Pathyam stores. Privacy-by-design from Phase 2.</t>
  </si>
  <si>
    <t xml:space="preserve">Licence position and risk register</t>
  </si>
  <si>
    <t xml:space="preserve">Ordered by severity. The top two rows are the ones that can materially damage the project. Update Status as items close.</t>
  </si>
  <si>
    <t xml:space="preserve">Share-alike?</t>
  </si>
  <si>
    <t xml:space="preserve">Commercial use</t>
  </si>
  <si>
    <t xml:space="preserve">Risk</t>
  </si>
  <si>
    <t xml:space="preserve">Specific risk</t>
  </si>
  <si>
    <t xml:space="preserve">Mitigation</t>
  </si>
  <si>
    <t xml:space="preserve">Action required</t>
  </si>
  <si>
    <t xml:space="preserve">Owner</t>
  </si>
  <si>
    <t xml:space="preserve">Status</t>
  </si>
  <si>
    <t xml:space="preserve">ODbL v1.0</t>
  </si>
  <si>
    <t xml:space="preserve">YES</t>
  </si>
  <si>
    <t xml:space="preserve">Permitted but viral</t>
  </si>
  <si>
    <t xml:space="preserve">CRITICAL</t>
  </si>
  <si>
    <t xml:space="preserve">Share-alike: combining OFF into a derived database obliges you to release that database as open data — destroying Pathyam-DB's commercial value.</t>
  </si>
  <si>
    <t xml:space="preserve">Physical isolation. Separate service, separate schema. Runtime query only. Never write OFF values into composition_value or any export.</t>
  </si>
  <si>
    <t xml:space="preserve">Write an architecture decision record; add a CI check that OFF identifiers never appear in core exports.</t>
  </si>
  <si>
    <t xml:space="preserve">Eng</t>
  </si>
  <si>
    <t xml:space="preserve">Not started</t>
  </si>
  <si>
    <t xml:space="preserve">ICMR-NIN IFCT 2017 / 2004</t>
  </si>
  <si>
    <t xml:space="preserve">Not stated (ICMR copyright)</t>
  </si>
  <si>
    <t xml:space="preserve">No</t>
  </si>
  <si>
    <t xml:space="preserve">UNCLEAR</t>
  </si>
  <si>
    <t xml:space="preserve">Free-to-read is not free-to-commercialise. Building product on undefined rights to the national reference table is the single largest silent risk in the project.</t>
  </si>
  <si>
    <t xml:space="preserve">Written permission from ICMR-NIN with explicit commercial terms. Fallback: derive values from primary literature plus your own lab panel; use IFCT only as an unpublished cross-check.</t>
  </si>
  <si>
    <t xml:space="preserve">Letter to ICMR-NIN, Hyderabad — combine with the GI collaboration ask to Dept of Dietetics.</t>
  </si>
  <si>
    <t xml:space="preserve">Founder</t>
  </si>
  <si>
    <t xml:space="preserve">Described 'open access'; no licence file</t>
  </si>
  <si>
    <t xml:space="preserve">Unknown</t>
  </si>
  <si>
    <t xml:space="preserve">HIGH</t>
  </si>
  <si>
    <t xml:space="preserve">Portal says open access but publishes no CC/ODbL declaration. Commercial derivative rights are undefined.</t>
  </si>
  <si>
    <t xml:space="preserve">Written clarification from Anuvaad Solutions LLP. Fallback: use only the published method (freely usable) and rebuild recipes from your own sources.</t>
  </si>
  <si>
    <t xml:space="preserve">Email awasthi@anuvaad.org.in requesting written licence terms.</t>
  </si>
  <si>
    <t xml:space="preserve">INDB source cookbooks</t>
  </si>
  <si>
    <t xml:space="preserve">Copyright (Elite Publishing; Orient BlackSwan)</t>
  </si>
  <si>
    <t xml:space="preserve">MEDIUM</t>
  </si>
  <si>
    <t xml:space="preserve">868 of INDB's 1,014 recipes come from two copyrighted textbooks. INDB used them under research use; a commercial derivative is a different posture.</t>
  </si>
  <si>
    <t xml:space="preserve">Ingredient quantities are facts and generally not copyrightable; the expression is. Never reproduce recipe text. Build Pathyam's own South Indian recipes from field collection and open sources.</t>
  </si>
  <si>
    <t xml:space="preserve">Legal opinion on derived-data position before Phase 3 launch.</t>
  </si>
  <si>
    <t xml:space="preserve">Founder + counsel</t>
  </si>
  <si>
    <t xml:space="preserve">npm MIT; Zenodo 'Other (Open)'</t>
  </si>
  <si>
    <t xml:space="preserve">Code yes; data unclear</t>
  </si>
  <si>
    <t xml:space="preserve">The MIT licence covers the packaging code. It cannot grant rights the packager did not hold over ICMR's underlying data.</t>
  </si>
  <si>
    <t xml:space="preserve">Treat as a convenient reader for data you have separately licensed from NIN. Do not rely on MIT as your data licence.</t>
  </si>
  <si>
    <t xml:space="preserve">Resolve alongside the ICMR-NIN permission.</t>
  </si>
  <si>
    <t xml:space="preserve">USDA FoodData Central / Retention Factors R6</t>
  </si>
  <si>
    <t xml:space="preserve">US Government work (public domain)</t>
  </si>
  <si>
    <t xml:space="preserve">YES — unrestricted</t>
  </si>
  <si>
    <t xml:space="preserve">LOW</t>
  </si>
  <si>
    <t xml:space="preserve">None. Attribution is courtesy, not obligation.</t>
  </si>
  <si>
    <t xml:space="preserve">Use freely. Attribute anyway — it costs nothing and supports the provenance story.</t>
  </si>
  <si>
    <t xml:space="preserve">Register for an API key.</t>
  </si>
  <si>
    <t xml:space="preserve">YES with attribution</t>
  </si>
  <si>
    <t xml:space="preserve">None material.</t>
  </si>
  <si>
    <t xml:space="preserve">Attribute per OGL v3.</t>
  </si>
  <si>
    <t xml:space="preserve">Download and record attribution string in source table.</t>
  </si>
  <si>
    <t xml:space="preserve">FSANZ AUSNUT / NUTTAB</t>
  </si>
  <si>
    <t xml:space="preserve">Attribute per CC-BY.</t>
  </si>
  <si>
    <t xml:space="preserve">Optional — cross-validation only.</t>
  </si>
  <si>
    <t xml:space="preserve">Danish Frida / Norwegian Matvaretabellen / Health Canada CNF</t>
  </si>
  <si>
    <t xml:space="preserve">Open / OGL-Canada</t>
  </si>
  <si>
    <t xml:space="preserve">Attribute.</t>
  </si>
  <si>
    <t xml:space="preserve">Gap-fill as needed.</t>
  </si>
  <si>
    <t xml:space="preserve">None. Methodology, not data.</t>
  </si>
  <si>
    <t xml:space="preserve">Cite in the methods paper.</t>
  </si>
  <si>
    <t xml:space="preserve">Adopt tagnames before schema freeze.</t>
  </si>
  <si>
    <t xml:space="preserve">South Indian GI literature</t>
  </si>
  <si>
    <t xml:space="preserve">Journal copyright; PMC open access</t>
  </si>
  <si>
    <t xml:space="preserve">Facts yes; figures per licence</t>
  </si>
  <si>
    <t xml:space="preserve">Numerical findings are facts and freely citable. Reproducing figures or tables verbatim needs the publisher's licence.</t>
  </si>
  <si>
    <t xml:space="preserve">Extract values into your own structured table with PMID/DOI provenance. Do not copy typeset tables.</t>
  </si>
  <si>
    <t xml:space="preserve">Systematic extraction starting from PMID 35875218 citation graph.</t>
  </si>
  <si>
    <t xml:space="preserve">Bognar (2002)</t>
  </si>
  <si>
    <t xml:space="preserve">Facts yes</t>
  </si>
  <si>
    <t xml:space="preserve">Factor values are facts; the compilation may attract database rights in the EU.</t>
  </si>
  <si>
    <t xml:space="preserve">Use USDA R6 as the primary source; Bognar only for cross-check.</t>
  </si>
  <si>
    <t xml:space="preserve">Obtain a library copy.</t>
  </si>
  <si>
    <t xml:space="preserve">HealthifyMe / FatSecret / any competitor app</t>
  </si>
  <si>
    <t xml:space="preserve">Proprietary; ToS prohibits scraping</t>
  </si>
  <si>
    <t xml:space="preserve">n/a</t>
  </si>
  <si>
    <t xml:space="preserve">NO</t>
  </si>
  <si>
    <t xml:space="preserve">Scraping a competitor's database is a ToS breach and likely actionable. It also imports their provenance problem.</t>
  </si>
  <si>
    <t xml:space="preserve">Do not scrape. Benchmark by manual sampling of a small public set for accuracy comparison only.</t>
  </si>
  <si>
    <t xml:space="preserve">State this explicitly in the engineering handbook.</t>
  </si>
  <si>
    <t xml:space="preserve">Nutritionix / Edamam / Spoonacular</t>
  </si>
  <si>
    <t xml:space="preserve">Per contract</t>
  </si>
  <si>
    <t xml:space="preserve">Typical terms forbid caching, redistribution or building a competing database from responses — which is exactly what Pathyam is.</t>
  </si>
  <si>
    <t xml:space="preserve">Read the redistribution clause before any integration. Runtime lookup only; never persist responses into your own tables.</t>
  </si>
  <si>
    <t xml:space="preserve">Defer to Phase 4 if ever.</t>
  </si>
  <si>
    <t xml:space="preserve">AI4Bharat models</t>
  </si>
  <si>
    <t xml:space="preserve">Open (per model card)</t>
  </si>
  <si>
    <t xml:space="preserve">None material; verify per-model card.</t>
  </si>
  <si>
    <t xml:space="preserve">Attribute; record model version in the lexicon build.</t>
  </si>
  <si>
    <t xml:space="preserve">Pin model version in requirements.</t>
  </si>
  <si>
    <t xml:space="preserve">Varies per dataset</t>
  </si>
  <si>
    <t xml:space="preserve">Varies</t>
  </si>
  <si>
    <t xml:space="preserve">Roboflow and academic sets carry heterogeneous licences; some are non-commercial.</t>
  </si>
  <si>
    <t xml:space="preserve">Audit each dataset's licence individually before any training use. Prefer VLM + retrieval over training, which sidesteps most of this.</t>
  </si>
  <si>
    <t xml:space="preserve">Audit at Phase 3 kickoff.</t>
  </si>
  <si>
    <t xml:space="preserve">Open items</t>
  </si>
  <si>
    <t xml:space="preserve">Critical items open</t>
  </si>
  <si>
    <t xml:space="preserve">Acquisition &amp; clearance tracker — Phase 0</t>
  </si>
  <si>
    <t xml:space="preserve">Sequenced actions for the first six weeks. Edit the yellow Status column; the summary below updates automatically.</t>
  </si>
  <si>
    <t xml:space="preserve">#</t>
  </si>
  <si>
    <t xml:space="preserve">Action</t>
  </si>
  <si>
    <t xml:space="preserve">Source(s)</t>
  </si>
  <si>
    <t xml:space="preserve">Category</t>
  </si>
  <si>
    <t xml:space="preserve">Target</t>
  </si>
  <si>
    <t xml:space="preserve">Blocker</t>
  </si>
  <si>
    <t xml:space="preserve">Notes</t>
  </si>
  <si>
    <t xml:space="preserve">Letter to ICMR-NIN Hyderabad: (a) IFCT 2017+2004 commercial terms, (b) GI collaboration with Dept of Dietetics</t>
  </si>
  <si>
    <t xml:space="preserve">IFCT 2017/2004; GI literature</t>
  </si>
  <si>
    <t xml:space="preserve">Legal + Partnership</t>
  </si>
  <si>
    <t xml:space="preserve">Week 1</t>
  </si>
  <si>
    <t xml:space="preserve">Highest-leverage single action. Shakappa et al. are at the same institute that holds IFCT.</t>
  </si>
  <si>
    <t xml:space="preserve">Email Anuvaad Solutions LLP (awasthi@anuvaad.org.in) requesting written INDB licence terms</t>
  </si>
  <si>
    <t xml:space="preserve">INDB</t>
  </si>
  <si>
    <t xml:space="preserve">Legal</t>
  </si>
  <si>
    <t xml:space="preserve">Blocks all Phase 1 product work if it comes back restrictive.</t>
  </si>
  <si>
    <t xml:space="preserve">Download Anuvaad_INDB_2024.11.xlsx and profile it — count genuinely South Indian recipes</t>
  </si>
  <si>
    <t xml:space="preserve">Acquisition</t>
  </si>
  <si>
    <t xml:space="preserve">Quantifies the actual size of the gap Pathyam fills.</t>
  </si>
  <si>
    <t xml:space="preserve">Clone INDB GitHub repo; read INDB.do end to end</t>
  </si>
  <si>
    <t xml:space="preserve">INDB code</t>
  </si>
  <si>
    <t xml:space="preserve">Understand the fallback chain and retention-factor mapping before porting.</t>
  </si>
  <si>
    <t xml:space="preserve">Register for USDA FoodData Central API key; pull FNDDS portion weights and Retention Factors R6</t>
  </si>
  <si>
    <t xml:space="preserve">USDA FDC; FNDDS; NRF R6</t>
  </si>
  <si>
    <t xml:space="preserve">Week 2</t>
  </si>
  <si>
    <t xml:space="preserve">Public domain — no legal gate.</t>
  </si>
  <si>
    <t xml:space="preserve">Download CoFID 2021 (OGL v3) and all FAO/INFOODS guidelines + compilation tool 1.2.1</t>
  </si>
  <si>
    <t xml:space="preserve">CoFID; FAO/INFOODS</t>
  </si>
  <si>
    <t xml:space="preserve">Systematic literature extraction for South Indian GI/GL, starting from PMID 35875218 citation graph</t>
  </si>
  <si>
    <t xml:space="preserve">GI literature</t>
  </si>
  <si>
    <t xml:space="preserve">Research</t>
  </si>
  <si>
    <t xml:space="preserve">Weeks 2-4</t>
  </si>
  <si>
    <t xml:space="preserve">~2 weeks. Clinical differentiator for Phase 2.</t>
  </si>
  <si>
    <t xml:space="preserve">Draft seed dish list: 150 dishes x 4 states with named regional variants</t>
  </si>
  <si>
    <t xml:space="preserve">n/a — original work</t>
  </si>
  <si>
    <t xml:space="preserve">Founder + culinary advisor</t>
  </si>
  <si>
    <t xml:space="preserve">Defines Phase 1 scope. Include Sadya, tiffin variants, Andhra pickles, ragi preparations.</t>
  </si>
  <si>
    <t xml:space="preserve">Stand up DuckDB + dbt + Great Expectations skeleton with QC gates 1-8</t>
  </si>
  <si>
    <t xml:space="preserve">n/a — infrastructure</t>
  </si>
  <si>
    <t xml:space="preserve">Engineering</t>
  </si>
  <si>
    <t xml:space="preserve">Weeks 3-4</t>
  </si>
  <si>
    <t xml:space="preserve">See dossier section 4.</t>
  </si>
  <si>
    <t xml:space="preserve">Write the ODbL-boundary architecture decision record and add the CI check</t>
  </si>
  <si>
    <t xml:space="preserve">Engineering + Legal</t>
  </si>
  <si>
    <t xml:space="preserve">Week 3</t>
  </si>
  <si>
    <t xml:space="preserve">Cheap now; unfixable in year three.</t>
  </si>
  <si>
    <t xml:space="preserve">Port INDB.do to Python and reproduce all 1,014 recipes within rounding tolerance</t>
  </si>
  <si>
    <t xml:space="preserve">Weeks 4-6</t>
  </si>
  <si>
    <t xml:space="preserve">Depends on #3, #4</t>
  </si>
  <si>
    <t xml:space="preserve">Best integration test available, and it is free.</t>
  </si>
  <si>
    <t xml:space="preserve">Scope a NABL-accredited lab quote (CSIR-CFTRI Mysuru / NIN) for a 30-50 dish analytical panel</t>
  </si>
  <si>
    <t xml:space="preserve">n/a — primary data</t>
  </si>
  <si>
    <t xml:space="preserve">Partnership</t>
  </si>
  <si>
    <t xml:space="preserve">Week 4</t>
  </si>
  <si>
    <t xml:space="preserve">Prioritise fermented batters, coconut-milk preparations, deep-fried oil absorption, Andhra pickle sodium.</t>
  </si>
  <si>
    <t xml:space="preserve">Identify grant route — ICMR, DBT/BIRAC, Wellcome-DBT India Alliance</t>
  </si>
  <si>
    <t xml:space="preserve">n/a — funding</t>
  </si>
  <si>
    <t xml:space="preserve">Funding</t>
  </si>
  <si>
    <t xml:space="preserve">Gates funded Anuvaad's INDB — precedent exists for this exact kind of work.</t>
  </si>
  <si>
    <t xml:space="preserve">Build the four-language lexicon seed from ifct2017 `descriptions` + IndicXlit, then human-verify</t>
  </si>
  <si>
    <t xml:space="preserve">ifct2017 corpus; AI4Bharat</t>
  </si>
  <si>
    <t xml:space="preserve">Weeks 5-8</t>
  </si>
  <si>
    <t xml:space="preserve">Depends on #1</t>
  </si>
  <si>
    <t xml:space="preserve">IFCT already carries romanised Tam./Tel./Mal./Kan. names — do not start from zero.</t>
  </si>
  <si>
    <t xml:space="preserve">Legal opinion on the derived-data position for recipe-derived nutrient values</t>
  </si>
  <si>
    <t xml:space="preserve">Week 6</t>
  </si>
  <si>
    <t xml:space="preserve">Needed before any commercial launch, not before development.</t>
  </si>
  <si>
    <t xml:space="preserve">Total actions</t>
  </si>
  <si>
    <t xml:space="preserve">Done</t>
  </si>
  <si>
    <t xml:space="preserve">In progress</t>
  </si>
  <si>
    <t xml:space="preserve">Blocked</t>
  </si>
  <si>
    <t xml:space="preserve">% complete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</si>
</sst>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0.0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864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u val="single"/>
      <sz val="9"/>
      <color rgb="FF0563C1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b val="true"/>
      <sz val="10"/>
      <color rgb="FF9C4500"/>
      <name val="Arial"/>
      <family val="0"/>
      <charset val="1"/>
    </font>
    <font>
      <b val="true"/>
      <sz val="10"/>
      <color rgb="FF9C6500"/>
      <name val="Arial"/>
      <family val="0"/>
      <charset val="1"/>
    </font>
    <font>
      <b val="true"/>
      <sz val="10"/>
      <color rgb="FF00610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D9E2F3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FFC7CE"/>
        <bgColor rgb="FFFFD9B3"/>
      </patternFill>
    </fill>
    <fill>
      <patternFill patternType="solid">
        <fgColor rgb="FFFFD9B3"/>
        <bgColor rgb="FFFFEB9C"/>
      </patternFill>
    </fill>
    <fill>
      <patternFill patternType="solid">
        <fgColor rgb="FFFFEB9C"/>
        <bgColor rgb="FFFFD9B3"/>
      </patternFill>
    </fill>
    <fill>
      <patternFill patternType="solid">
        <fgColor rgb="FFC6EFCE"/>
        <bgColor rgb="FFD9E2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5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5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63BE7B"/>
          <bgColor rgb="FF000000"/>
        </patternFill>
      </fill>
    </dxf>
    <dxf>
      <fill>
        <patternFill patternType="solid">
          <fgColor rgb="FFA2D07F"/>
          <bgColor rgb="FF000000"/>
        </patternFill>
      </fill>
    </dxf>
    <dxf>
      <fill>
        <patternFill patternType="solid">
          <fgColor rgb="FFD9E2F3"/>
          <bgColor rgb="FF000000"/>
        </patternFill>
      </fill>
    </dxf>
    <dxf>
      <fill>
        <patternFill patternType="solid">
          <fgColor rgb="FFE0E283"/>
          <bgColor rgb="FF000000"/>
        </patternFill>
      </fill>
    </dxf>
    <dxf>
      <fill>
        <patternFill patternType="solid">
          <fgColor rgb="FFF8696B"/>
          <bgColor rgb="FF000000"/>
        </patternFill>
      </fill>
    </dxf>
    <dxf>
      <fill>
        <patternFill patternType="solid">
          <fgColor rgb="FFFA9D75"/>
          <bgColor rgb="FF000000"/>
        </patternFill>
      </fill>
    </dxf>
    <dxf>
      <fill>
        <patternFill patternType="solid">
          <fgColor rgb="FFFDD17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 patternType="solid">
          <fgColor rgb="FF8EA9DB"/>
          <bgColor rgb="FF000000"/>
        </patternFill>
      </fill>
    </dxf>
    <dxf>
      <fill>
        <patternFill patternType="solid">
          <fgColor rgb="FF96AFDE"/>
          <bgColor rgb="FF000000"/>
        </patternFill>
      </fill>
    </dxf>
    <dxf>
      <fill>
        <patternFill patternType="solid">
          <fgColor rgb="FFA6BBE3"/>
          <bgColor rgb="FF000000"/>
        </patternFill>
      </fill>
    </dxf>
    <dxf>
      <fill>
        <patternFill patternType="solid">
          <fgColor rgb="FFAABEE4"/>
          <bgColor rgb="FF000000"/>
        </patternFill>
      </fill>
    </dxf>
    <dxf>
      <fill>
        <patternFill patternType="solid">
          <fgColor rgb="FFACC0E5"/>
          <bgColor rgb="FF000000"/>
        </patternFill>
      </fill>
    </dxf>
    <dxf>
      <fill>
        <patternFill patternType="solid">
          <fgColor rgb="FFADC1E5"/>
          <bgColor rgb="FF000000"/>
        </patternFill>
      </fill>
    </dxf>
    <dxf>
      <fill>
        <patternFill patternType="solid">
          <fgColor rgb="FFAEC2E6"/>
          <bgColor rgb="FF000000"/>
        </patternFill>
      </fill>
    </dxf>
    <dxf>
      <fill>
        <patternFill patternType="solid">
          <fgColor rgb="FFAFC2E6"/>
          <bgColor rgb="FF000000"/>
        </patternFill>
      </fill>
    </dxf>
    <dxf>
      <fill>
        <patternFill patternType="solid">
          <fgColor rgb="FFB2C5E7"/>
          <bgColor rgb="FF000000"/>
        </patternFill>
      </fill>
    </dxf>
    <dxf>
      <fill>
        <patternFill patternType="solid">
          <fgColor rgb="FFB4C6E7"/>
          <bgColor rgb="FF000000"/>
        </patternFill>
      </fill>
    </dxf>
    <dxf>
      <fill>
        <patternFill patternType="solid">
          <fgColor rgb="FFBBCBEA"/>
          <bgColor rgb="FF000000"/>
        </patternFill>
      </fill>
    </dxf>
    <dxf>
      <fill>
        <patternFill patternType="solid">
          <fgColor rgb="FFBDCDEA"/>
          <bgColor rgb="FF000000"/>
        </patternFill>
      </fill>
    </dxf>
    <dxf>
      <fill>
        <patternFill patternType="solid">
          <fgColor rgb="FFC0CFEB"/>
          <bgColor rgb="FF000000"/>
        </patternFill>
      </fill>
    </dxf>
    <dxf>
      <fill>
        <patternFill patternType="solid">
          <fgColor rgb="FFC2D1EC"/>
          <bgColor rgb="FF000000"/>
        </patternFill>
      </fill>
    </dxf>
    <dxf>
      <fill>
        <patternFill patternType="solid">
          <fgColor rgb="FFC3D1EC"/>
          <bgColor rgb="FF000000"/>
        </patternFill>
      </fill>
    </dxf>
    <dxf>
      <fill>
        <patternFill patternType="solid">
          <fgColor rgb="FFC7D5EE"/>
          <bgColor rgb="FF000000"/>
        </patternFill>
      </fill>
    </dxf>
    <dxf>
      <fill>
        <patternFill patternType="solid">
          <fgColor rgb="FFCCD8EF"/>
          <bgColor rgb="FF000000"/>
        </patternFill>
      </fill>
    </dxf>
    <dxf>
      <fill>
        <patternFill patternType="solid">
          <fgColor rgb="FFCFDBF0"/>
          <bgColor rgb="FF000000"/>
        </patternFill>
      </fill>
    </dxf>
    <dxf>
      <fill>
        <patternFill patternType="solid">
          <fgColor rgb="FFD2DDF1"/>
          <bgColor rgb="FF000000"/>
        </patternFill>
      </fill>
    </dxf>
    <dxf>
      <fill>
        <patternFill patternType="solid">
          <fgColor rgb="FFD8E1F3"/>
          <bgColor rgb="FF000000"/>
        </patternFill>
      </fill>
    </dxf>
    <dxf>
      <fill>
        <patternFill patternType="solid">
          <fgColor rgb="FFDEE6F5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D9B3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9C4500"/>
          <bgColor rgb="FF000000"/>
        </patternFill>
      </fill>
    </dxf>
    <dxf>
      <fill>
        <patternFill patternType="solid">
          <fgColor rgb="FF9C65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9C65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563C1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C7CE"/>
      <rgbColor rgb="FFCC99FF"/>
      <rgbColor rgb="FFFFD9B3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6100"/>
      <rgbColor rgb="FF333300"/>
      <rgbColor rgb="FF9C45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www.nin.res.in/ebooks/IFCT2017.pdf" TargetMode="External"/><Relationship Id="rId2" Type="http://schemas.openxmlformats.org/officeDocument/2006/relationships/hyperlink" Target="https://zenodo.org/records/7088653" TargetMode="External"/><Relationship Id="rId3" Type="http://schemas.openxmlformats.org/officeDocument/2006/relationships/hyperlink" Target="https://www.nin.res.in/" TargetMode="External"/><Relationship Id="rId4" Type="http://schemas.openxmlformats.org/officeDocument/2006/relationships/hyperlink" Target="https://www.anuvaad.org.in/indian-nutrient-databank/" TargetMode="External"/><Relationship Id="rId5" Type="http://schemas.openxmlformats.org/officeDocument/2006/relationships/hyperlink" Target="https://github.com/lindsayjaacks/Indian-Nutrient-Databank-INDB-" TargetMode="External"/><Relationship Id="rId6" Type="http://schemas.openxmlformats.org/officeDocument/2006/relationships/hyperlink" Target="https://play.google.com/store/apps/details?id=com.nin20.nin2byo2i" TargetMode="External"/><Relationship Id="rId7" Type="http://schemas.openxmlformats.org/officeDocument/2006/relationships/hyperlink" Target="https://www.nin.res.in/" TargetMode="External"/><Relationship Id="rId8" Type="http://schemas.openxmlformats.org/officeDocument/2006/relationships/hyperlink" Target="https://nin.res.in/dietaryguidelines/pdfjs/locale/DGI_2024.pdf" TargetMode="External"/><Relationship Id="rId9" Type="http://schemas.openxmlformats.org/officeDocument/2006/relationships/hyperlink" Target="https://fssai.gov.in/upload/uploadfiles/files/Comp_Labelling%20Display_Version%20VII_03042025.pdf" TargetMode="External"/><Relationship Id="rId10" Type="http://schemas.openxmlformats.org/officeDocument/2006/relationships/hyperlink" Target="https://www.fssai.gov.in/upload/advisories/2022/03/6243ef28079ceDirection_Nutra_30_03_2022.pdf" TargetMode="External"/><Relationship Id="rId11" Type="http://schemas.openxmlformats.org/officeDocument/2006/relationships/hyperlink" Target="https://www.fssai.gov.in/" TargetMode="External"/><Relationship Id="rId12" Type="http://schemas.openxmlformats.org/officeDocument/2006/relationships/hyperlink" Target="http://rchiips.org/nfhs/" TargetMode="External"/><Relationship Id="rId13" Type="http://schemas.openxmlformats.org/officeDocument/2006/relationships/hyperlink" Target="https://pubmed.ncbi.nlm.nih.gov/35875218/" TargetMode="External"/><Relationship Id="rId14" Type="http://schemas.openxmlformats.org/officeDocument/2006/relationships/hyperlink" Target="https://fdc.nal.usda.gov/" TargetMode="External"/><Relationship Id="rId15" Type="http://schemas.openxmlformats.org/officeDocument/2006/relationships/hyperlink" Target="https://agdatacommons.nal.usda.gov/articles/dataset/USDA_Table_of_Nutrient_Retention_Factors_Release_6_2007_/24660888" TargetMode="External"/><Relationship Id="rId16" Type="http://schemas.openxmlformats.org/officeDocument/2006/relationships/hyperlink" Target="https://www.gov.uk/government/publications/composition-of-foods-integrated-dataset-cofid" TargetMode="External"/><Relationship Id="rId17" Type="http://schemas.openxmlformats.org/officeDocument/2006/relationships/hyperlink" Target="https://www.fao.org/food-composition/en/" TargetMode="External"/><Relationship Id="rId18" Type="http://schemas.openxmlformats.org/officeDocument/2006/relationships/hyperlink" Target="https://www.fao.org/" TargetMode="External"/><Relationship Id="rId19" Type="http://schemas.openxmlformats.org/officeDocument/2006/relationships/hyperlink" Target="https://www.foodstandards.gov.au/" TargetMode="External"/><Relationship Id="rId20" Type="http://schemas.openxmlformats.org/officeDocument/2006/relationships/hyperlink" Target="https://frida.fooddata.dk/" TargetMode="External"/><Relationship Id="rId21" Type="http://schemas.openxmlformats.org/officeDocument/2006/relationships/hyperlink" Target="https://www.matvaretabellen.no/" TargetMode="External"/><Relationship Id="rId22" Type="http://schemas.openxmlformats.org/officeDocument/2006/relationships/hyperlink" Target="https://food-nutrition.canada.ca/cnf-fce/" TargetMode="External"/><Relationship Id="rId23" Type="http://schemas.openxmlformats.org/officeDocument/2006/relationships/hyperlink" Target="https://world.openfoodfacts.org/data" TargetMode="External"/><Relationship Id="rId24" Type="http://schemas.openxmlformats.org/officeDocument/2006/relationships/hyperlink" Target="https://www.nutritionix.com/business/api" TargetMode="External"/><Relationship Id="rId25" Type="http://schemas.openxmlformats.org/officeDocument/2006/relationships/hyperlink" Target="https://www.edamam.com/" TargetMode="External"/><Relationship Id="rId26" Type="http://schemas.openxmlformats.org/officeDocument/2006/relationships/hyperlink" Target="https://spoonacular.com/food-api" TargetMode="External"/><Relationship Id="rId27" Type="http://schemas.openxmlformats.org/officeDocument/2006/relationships/hyperlink" Target="https://platform.fatsecret.com/" TargetMode="External"/><Relationship Id="rId28" Type="http://schemas.openxmlformats.org/officeDocument/2006/relationships/hyperlink" Target="https://www.healthifyme.com/" TargetMode="External"/><Relationship Id="rId29" Type="http://schemas.openxmlformats.org/officeDocument/2006/relationships/hyperlink" Target="https://github.com/AI4Bharat/IndicXlit" TargetMode="External"/><Relationship Id="rId30" Type="http://schemas.openxmlformats.org/officeDocument/2006/relationships/hyperlink" Target="https://universe.roboflow.com/indianfood/indian_food-pwzlc" TargetMode="External"/><Relationship Id="rId31" Type="http://schemas.openxmlformats.org/officeDocument/2006/relationships/hyperlink" Target="https://www.fda.gov/medical-devices/medical-devices-news-and-events/town-hall-general-wellness-policy-low-risk-devices-final-guidance-02112026" TargetMode="External"/><Relationship Id="rId32" Type="http://schemas.openxmlformats.org/officeDocument/2006/relationships/hyperlink" Target="https://ec.europa.eu/food/safety/labelling-and-nutrition/nutrition-and-health-claims_en" TargetMode="External"/><Relationship Id="rId33" Type="http://schemas.openxmlformats.org/officeDocument/2006/relationships/hyperlink" Target="https://www.gov.uk/government/collections/software-and-artificial-intelligence-ai-as-a-medical-device" TargetMode="External"/><Relationship Id="rId34" Type="http://schemas.openxmlformats.org/officeDocument/2006/relationships/hyperlink" Target="https://www.tga.gov.au/how-we-regulate/manufacturing/medical-devices/manufacturer-guidance-specific-types-medical-devices/software-based-medical-devices" TargetMode="External"/><Relationship Id="rId35" Type="http://schemas.openxmlformats.org/officeDocument/2006/relationships/hyperlink" Target="https://dsld.od.nih.gov/" TargetMode="External"/><Relationship Id="rId36" Type="http://schemas.openxmlformats.org/officeDocument/2006/relationships/hyperlink" Target="https://www.meity.gov.in/static/uploads/2024/06/2bf1f0e9f04e6fb4f8fef35e82c42aa5.pdf" TargetMode="External"/><Relationship Id="rId37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8"/>
  </cols>
  <sheetData>
    <row r="1" customFormat="false" ht="22.0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6" customFormat="false" ht="15" hidden="false" customHeight="false" outlineLevel="0" collapsed="false">
      <c r="A6" s="3" t="s">
        <v>3</v>
      </c>
    </row>
    <row r="7" customFormat="false" ht="23.85" hidden="false" customHeight="false" outlineLevel="0" collapsed="false">
      <c r="B7" s="4" t="s">
        <v>4</v>
      </c>
    </row>
    <row r="9" customFormat="false" ht="15" hidden="false" customHeight="false" outlineLevel="0" collapsed="false">
      <c r="A9" s="3" t="s">
        <v>5</v>
      </c>
    </row>
    <row r="10" customFormat="false" ht="23.85" hidden="false" customHeight="false" outlineLevel="0" collapsed="false">
      <c r="A10" s="5" t="s">
        <v>6</v>
      </c>
      <c r="B10" s="4" t="s">
        <v>7</v>
      </c>
    </row>
    <row r="11" customFormat="false" ht="15" hidden="false" customHeight="false" outlineLevel="0" collapsed="false">
      <c r="A11" s="5" t="s">
        <v>8</v>
      </c>
      <c r="B11" s="4" t="s">
        <v>9</v>
      </c>
    </row>
    <row r="12" customFormat="false" ht="23.85" hidden="false" customHeight="false" outlineLevel="0" collapsed="false">
      <c r="A12" s="5" t="s">
        <v>10</v>
      </c>
      <c r="B12" s="4" t="s">
        <v>11</v>
      </c>
    </row>
    <row r="13" customFormat="false" ht="15" hidden="false" customHeight="false" outlineLevel="0" collapsed="false">
      <c r="A13" s="5" t="s">
        <v>12</v>
      </c>
      <c r="B13" s="4" t="s">
        <v>13</v>
      </c>
    </row>
    <row r="14" customFormat="false" ht="15" hidden="false" customHeight="false" outlineLevel="0" collapsed="false">
      <c r="A14" s="5" t="s">
        <v>14</v>
      </c>
      <c r="B14" s="4" t="s">
        <v>15</v>
      </c>
    </row>
    <row r="16" customFormat="false" ht="15" hidden="false" customHeight="false" outlineLevel="0" collapsed="false">
      <c r="A16" s="3" t="s">
        <v>16</v>
      </c>
    </row>
    <row r="17" customFormat="false" ht="15" hidden="false" customHeight="false" outlineLevel="0" collapsed="false">
      <c r="B17" s="4" t="s">
        <v>17</v>
      </c>
    </row>
    <row r="18" customFormat="false" ht="15" hidden="false" customHeight="false" outlineLevel="0" collapsed="false">
      <c r="B18" s="4" t="s">
        <v>18</v>
      </c>
    </row>
    <row r="19" customFormat="false" ht="35.05" hidden="false" customHeight="false" outlineLevel="0" collapsed="false">
      <c r="B19" s="4" t="s">
        <v>19</v>
      </c>
    </row>
    <row r="21" customFormat="false" ht="15" hidden="false" customHeight="false" outlineLevel="0" collapsed="false">
      <c r="A21" s="3" t="s">
        <v>20</v>
      </c>
    </row>
    <row r="22" customFormat="false" ht="35.05" hidden="false" customHeight="false" outlineLevel="0" collapsed="false">
      <c r="B22" s="4" t="s">
        <v>21</v>
      </c>
    </row>
    <row r="23" customFormat="false" ht="46.25" hidden="false" customHeight="false" outlineLevel="0" collapsed="false">
      <c r="B23" s="4" t="s">
        <v>22</v>
      </c>
    </row>
    <row r="24" customFormat="false" ht="15" hidden="false" customHeight="false" outlineLevel="0" collapsed="false">
      <c r="B24" s="4" t="s">
        <v>23</v>
      </c>
    </row>
    <row r="25" customFormat="false" ht="23.85" hidden="false" customHeight="false" outlineLevel="0" collapsed="false">
      <c r="B25" s="4" t="s">
        <v>24</v>
      </c>
    </row>
    <row r="26" customFormat="false" ht="15" hidden="false" customHeight="false" outlineLevel="0" collapsed="false">
      <c r="B26" s="4" t="s">
        <v>25</v>
      </c>
    </row>
    <row r="28" customFormat="false" ht="15" hidden="false" customHeight="false" outlineLevel="0" collapsed="false">
      <c r="A28" s="3" t="s">
        <v>26</v>
      </c>
    </row>
    <row r="29" customFormat="false" ht="15" hidden="false" customHeight="false" outlineLevel="0" collapsed="false">
      <c r="B29" s="4" t="s">
        <v>27</v>
      </c>
    </row>
    <row r="31" customFormat="false" ht="15" hidden="false" customHeight="false" outlineLevel="0" collapsed="false">
      <c r="A31" s="3" t="s">
        <v>28</v>
      </c>
    </row>
    <row r="32" customFormat="false" ht="15" hidden="false" customHeight="false" outlineLevel="0" collapsed="false">
      <c r="B32" s="4" t="s">
        <v>29</v>
      </c>
    </row>
    <row r="33" customFormat="false" ht="23.85" hidden="false" customHeight="false" outlineLevel="0" collapsed="false">
      <c r="B33" s="4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2"/>
    <col collapsed="false" customWidth="true" hidden="false" outlineLevel="0" max="3" min="3" style="0" width="11"/>
    <col collapsed="false" customWidth="true" hidden="false" outlineLevel="0" max="4" min="4" style="0" width="96"/>
  </cols>
  <sheetData>
    <row r="1" customFormat="false" ht="17.35" hidden="false" customHeight="false" outlineLevel="0" collapsed="false">
      <c r="A1" s="6" t="s">
        <v>31</v>
      </c>
    </row>
    <row r="2" customFormat="false" ht="15" hidden="false" customHeight="false" outlineLevel="0" collapsed="false">
      <c r="A2" s="2" t="s">
        <v>32</v>
      </c>
    </row>
    <row r="4" customFormat="false" ht="24" hidden="false" customHeight="true" outlineLevel="0" collapsed="false">
      <c r="A4" s="7" t="s">
        <v>33</v>
      </c>
      <c r="B4" s="7" t="s">
        <v>34</v>
      </c>
      <c r="C4" s="7" t="s">
        <v>35</v>
      </c>
      <c r="D4" s="7" t="s">
        <v>36</v>
      </c>
    </row>
    <row r="5" customFormat="false" ht="23.85" hidden="false" customHeight="false" outlineLevel="0" collapsed="false">
      <c r="A5" s="8" t="s">
        <v>37</v>
      </c>
      <c r="B5" s="9" t="s">
        <v>38</v>
      </c>
      <c r="C5" s="10" t="n">
        <v>0.25</v>
      </c>
      <c r="D5" s="9" t="s">
        <v>39</v>
      </c>
    </row>
    <row r="6" customFormat="false" ht="15" hidden="false" customHeight="false" outlineLevel="0" collapsed="false">
      <c r="A6" s="8" t="s">
        <v>40</v>
      </c>
      <c r="B6" s="9" t="s">
        <v>41</v>
      </c>
      <c r="C6" s="10" t="n">
        <v>0.13</v>
      </c>
      <c r="D6" s="9" t="s">
        <v>42</v>
      </c>
    </row>
    <row r="7" customFormat="false" ht="15" hidden="false" customHeight="false" outlineLevel="0" collapsed="false">
      <c r="A7" s="8" t="s">
        <v>43</v>
      </c>
      <c r="B7" s="9" t="s">
        <v>44</v>
      </c>
      <c r="C7" s="10" t="n">
        <v>0.08</v>
      </c>
      <c r="D7" s="9" t="s">
        <v>45</v>
      </c>
    </row>
    <row r="8" customFormat="false" ht="15" hidden="false" customHeight="false" outlineLevel="0" collapsed="false">
      <c r="A8" s="8" t="s">
        <v>46</v>
      </c>
      <c r="B8" s="9" t="s">
        <v>47</v>
      </c>
      <c r="C8" s="10" t="n">
        <v>0.09</v>
      </c>
      <c r="D8" s="9" t="s">
        <v>48</v>
      </c>
    </row>
    <row r="9" customFormat="false" ht="15" hidden="false" customHeight="false" outlineLevel="0" collapsed="false">
      <c r="A9" s="8" t="s">
        <v>49</v>
      </c>
      <c r="B9" s="9" t="s">
        <v>50</v>
      </c>
      <c r="C9" s="10" t="n">
        <v>0.13</v>
      </c>
      <c r="D9" s="9" t="s">
        <v>51</v>
      </c>
    </row>
    <row r="10" customFormat="false" ht="15" hidden="false" customHeight="false" outlineLevel="0" collapsed="false">
      <c r="A10" s="8" t="s">
        <v>52</v>
      </c>
      <c r="B10" s="9" t="s">
        <v>53</v>
      </c>
      <c r="C10" s="10" t="n">
        <v>0.15</v>
      </c>
      <c r="D10" s="9" t="s">
        <v>54</v>
      </c>
    </row>
    <row r="11" customFormat="false" ht="15" hidden="false" customHeight="false" outlineLevel="0" collapsed="false">
      <c r="A11" s="8" t="s">
        <v>55</v>
      </c>
      <c r="B11" s="9" t="s">
        <v>56</v>
      </c>
      <c r="C11" s="10" t="n">
        <v>0.07</v>
      </c>
      <c r="D11" s="9" t="s">
        <v>57</v>
      </c>
    </row>
    <row r="12" customFormat="false" ht="15" hidden="false" customHeight="false" outlineLevel="0" collapsed="false">
      <c r="A12" s="8" t="s">
        <v>58</v>
      </c>
      <c r="B12" s="9" t="s">
        <v>59</v>
      </c>
      <c r="C12" s="10" t="n">
        <v>0.04</v>
      </c>
      <c r="D12" s="9" t="s">
        <v>60</v>
      </c>
    </row>
    <row r="13" customFormat="false" ht="15" hidden="false" customHeight="false" outlineLevel="0" collapsed="false">
      <c r="A13" s="8" t="s">
        <v>61</v>
      </c>
      <c r="B13" s="9" t="s">
        <v>62</v>
      </c>
      <c r="C13" s="10" t="n">
        <v>0.04</v>
      </c>
      <c r="D13" s="9" t="s">
        <v>63</v>
      </c>
    </row>
    <row r="14" customFormat="false" ht="15" hidden="false" customHeight="false" outlineLevel="0" collapsed="false">
      <c r="A14" s="8" t="s">
        <v>64</v>
      </c>
      <c r="B14" s="9" t="s">
        <v>65</v>
      </c>
      <c r="C14" s="10" t="n">
        <v>0.02</v>
      </c>
      <c r="D14" s="9" t="s">
        <v>66</v>
      </c>
    </row>
    <row r="15" customFormat="false" ht="15" hidden="false" customHeight="false" outlineLevel="0" collapsed="false">
      <c r="B15" s="11" t="s">
        <v>67</v>
      </c>
      <c r="C15" s="12" t="n">
        <f aca="false">SUM(C5:C14)</f>
        <v>1</v>
      </c>
    </row>
    <row r="16" customFormat="false" ht="15" hidden="false" customHeight="false" outlineLevel="0" collapsed="false">
      <c r="B16" s="11" t="s">
        <v>68</v>
      </c>
      <c r="C16" s="13" t="str">
        <f aca="false">IF(ROUND(C15,4)=1,"OK","FIX WEIGHTS")</f>
        <v>OK</v>
      </c>
    </row>
    <row r="18" customFormat="false" ht="15" hidden="false" customHeight="false" outlineLevel="0" collapsed="false">
      <c r="A18" s="2" t="s">
        <v>69</v>
      </c>
    </row>
    <row r="19" customFormat="false" ht="15" hidden="false" customHeight="false" outlineLevel="0" collapsed="false">
      <c r="A19" s="2" t="s">
        <v>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2"/>
    <col collapsed="false" customWidth="true" hidden="false" outlineLevel="0" max="12" min="3" style="0" width="6.51"/>
    <col collapsed="false" customWidth="true" hidden="false" outlineLevel="0" max="13" min="13" style="0" width="13"/>
    <col collapsed="false" customWidth="true" hidden="false" outlineLevel="0" max="14" min="14" style="0" width="9"/>
    <col collapsed="false" customWidth="true" hidden="false" outlineLevel="0" max="15" min="15" style="0" width="7"/>
    <col collapsed="false" customWidth="true" hidden="false" outlineLevel="0" max="16" min="16" style="0" width="74"/>
  </cols>
  <sheetData>
    <row r="1" customFormat="false" ht="17.35" hidden="false" customHeight="false" outlineLevel="0" collapsed="false">
      <c r="A1" s="6" t="s">
        <v>71</v>
      </c>
    </row>
    <row r="2" customFormat="false" ht="15" hidden="false" customHeight="false" outlineLevel="0" collapsed="false">
      <c r="A2" s="2" t="s">
        <v>72</v>
      </c>
    </row>
    <row r="4" customFormat="false" ht="30" hidden="false" customHeight="true" outlineLevel="0" collapsed="false">
      <c r="A4" s="7" t="s">
        <v>73</v>
      </c>
      <c r="B4" s="7" t="s">
        <v>74</v>
      </c>
      <c r="C4" s="7" t="s">
        <v>75</v>
      </c>
      <c r="D4" s="7" t="s">
        <v>76</v>
      </c>
      <c r="E4" s="7" t="s">
        <v>77</v>
      </c>
      <c r="F4" s="7" t="s">
        <v>78</v>
      </c>
      <c r="G4" s="7" t="s">
        <v>79</v>
      </c>
      <c r="H4" s="7" t="s">
        <v>80</v>
      </c>
      <c r="I4" s="7" t="s">
        <v>81</v>
      </c>
      <c r="J4" s="7" t="s">
        <v>82</v>
      </c>
      <c r="K4" s="7" t="s">
        <v>83</v>
      </c>
      <c r="L4" s="7" t="s">
        <v>84</v>
      </c>
      <c r="M4" s="7" t="s">
        <v>85</v>
      </c>
      <c r="N4" s="7" t="s">
        <v>86</v>
      </c>
      <c r="O4" s="7" t="s">
        <v>87</v>
      </c>
      <c r="P4" s="7" t="s">
        <v>88</v>
      </c>
    </row>
    <row r="5" customFormat="false" ht="15" hidden="false" customHeight="false" outlineLevel="0" collapsed="false">
      <c r="A5" s="14" t="s">
        <v>89</v>
      </c>
      <c r="B5" s="15"/>
      <c r="C5" s="16" t="n">
        <f aca="false">Weights!$C$5</f>
        <v>0.25</v>
      </c>
      <c r="D5" s="16" t="n">
        <f aca="false">Weights!$C$6</f>
        <v>0.13</v>
      </c>
      <c r="E5" s="16" t="n">
        <f aca="false">Weights!$C$7</f>
        <v>0.08</v>
      </c>
      <c r="F5" s="16" t="n">
        <f aca="false">Weights!$C$8</f>
        <v>0.09</v>
      </c>
      <c r="G5" s="16" t="n">
        <f aca="false">Weights!$C$9</f>
        <v>0.13</v>
      </c>
      <c r="H5" s="16" t="n">
        <f aca="false">Weights!$C$10</f>
        <v>0.15</v>
      </c>
      <c r="I5" s="16" t="n">
        <f aca="false">Weights!$C$11</f>
        <v>0.07</v>
      </c>
      <c r="J5" s="16" t="n">
        <f aca="false">Weights!$C$12</f>
        <v>0.04</v>
      </c>
      <c r="K5" s="16" t="n">
        <f aca="false">Weights!$C$13</f>
        <v>0.04</v>
      </c>
      <c r="L5" s="16" t="n">
        <f aca="false">Weights!$C$14</f>
        <v>0.02</v>
      </c>
      <c r="M5" s="17" t="n">
        <f aca="false">SUM(C5:L5)</f>
        <v>1</v>
      </c>
    </row>
    <row r="6" customFormat="false" ht="35.05" hidden="false" customHeight="false" outlineLevel="0" collapsed="false">
      <c r="A6" s="18" t="s">
        <v>90</v>
      </c>
      <c r="B6" s="9" t="s">
        <v>91</v>
      </c>
      <c r="C6" s="19" t="n">
        <v>2</v>
      </c>
      <c r="D6" s="19" t="n">
        <v>5</v>
      </c>
      <c r="E6" s="19" t="n">
        <v>5</v>
      </c>
      <c r="F6" s="19" t="n">
        <v>4</v>
      </c>
      <c r="G6" s="19" t="n">
        <v>5</v>
      </c>
      <c r="H6" s="19" t="n">
        <v>3</v>
      </c>
      <c r="I6" s="19" t="n">
        <v>5</v>
      </c>
      <c r="J6" s="19" t="n">
        <v>3</v>
      </c>
      <c r="K6" s="19" t="n">
        <v>2</v>
      </c>
      <c r="L6" s="19" t="n">
        <v>5</v>
      </c>
      <c r="M6" s="20" t="n">
        <f aca="false">SUMPRODUCT($C6:$L6,$C$5:$L$5)</f>
        <v>3.66</v>
      </c>
      <c r="N6" s="21" t="n">
        <f aca="false">M6/5</f>
        <v>0.732</v>
      </c>
      <c r="O6" s="13" t="n">
        <f aca="false">RANK(M6,$M$6:$M$30)</f>
        <v>1</v>
      </c>
      <c r="P6" s="9" t="s">
        <v>92</v>
      </c>
    </row>
    <row r="7" customFormat="false" ht="23.85" hidden="false" customHeight="false" outlineLevel="0" collapsed="false">
      <c r="A7" s="22" t="s">
        <v>93</v>
      </c>
      <c r="B7" s="23" t="s">
        <v>94</v>
      </c>
      <c r="C7" s="19" t="n">
        <v>5</v>
      </c>
      <c r="D7" s="19" t="n">
        <v>4</v>
      </c>
      <c r="E7" s="19" t="n">
        <v>3</v>
      </c>
      <c r="F7" s="19" t="n">
        <v>1</v>
      </c>
      <c r="G7" s="19" t="n">
        <v>5</v>
      </c>
      <c r="H7" s="19" t="n">
        <v>4</v>
      </c>
      <c r="I7" s="19" t="n">
        <v>0</v>
      </c>
      <c r="J7" s="19" t="n">
        <v>0</v>
      </c>
      <c r="K7" s="19" t="n">
        <v>1</v>
      </c>
      <c r="L7" s="19" t="n">
        <v>5</v>
      </c>
      <c r="M7" s="24" t="n">
        <f aca="false">SUMPRODUCT($C7:$L7,$C$5:$L$5)</f>
        <v>3.49</v>
      </c>
      <c r="N7" s="25" t="n">
        <f aca="false">M7/5</f>
        <v>0.698</v>
      </c>
      <c r="O7" s="26" t="n">
        <f aca="false">RANK(M7,$M$6:$M$30)</f>
        <v>2</v>
      </c>
      <c r="P7" s="23" t="s">
        <v>95</v>
      </c>
    </row>
    <row r="8" customFormat="false" ht="23.85" hidden="false" customHeight="false" outlineLevel="0" collapsed="false">
      <c r="A8" s="18" t="s">
        <v>96</v>
      </c>
      <c r="B8" s="9" t="s">
        <v>97</v>
      </c>
      <c r="C8" s="19" t="n">
        <v>4</v>
      </c>
      <c r="D8" s="19" t="n">
        <v>0</v>
      </c>
      <c r="E8" s="19" t="n">
        <v>1</v>
      </c>
      <c r="F8" s="19" t="n">
        <v>5</v>
      </c>
      <c r="G8" s="19" t="n">
        <v>4</v>
      </c>
      <c r="H8" s="19" t="n">
        <v>3</v>
      </c>
      <c r="I8" s="19" t="n">
        <v>5</v>
      </c>
      <c r="J8" s="19" t="n">
        <v>2</v>
      </c>
      <c r="K8" s="19" t="n">
        <v>3</v>
      </c>
      <c r="L8" s="19" t="n">
        <v>5</v>
      </c>
      <c r="M8" s="20" t="n">
        <f aca="false">SUMPRODUCT($C8:$L8,$C$5:$L$5)</f>
        <v>3.15</v>
      </c>
      <c r="N8" s="21" t="n">
        <f aca="false">M8/5</f>
        <v>0.63</v>
      </c>
      <c r="O8" s="13" t="n">
        <f aca="false">RANK(M8,$M$6:$M$30)</f>
        <v>3</v>
      </c>
      <c r="P8" s="9" t="s">
        <v>98</v>
      </c>
    </row>
    <row r="9" customFormat="false" ht="23.85" hidden="false" customHeight="false" outlineLevel="0" collapsed="false">
      <c r="A9" s="22" t="s">
        <v>99</v>
      </c>
      <c r="B9" s="23" t="s">
        <v>100</v>
      </c>
      <c r="C9" s="19" t="n">
        <v>0</v>
      </c>
      <c r="D9" s="19" t="n">
        <v>3</v>
      </c>
      <c r="E9" s="19" t="n">
        <v>5</v>
      </c>
      <c r="F9" s="19" t="n">
        <v>3</v>
      </c>
      <c r="G9" s="19" t="n">
        <v>5</v>
      </c>
      <c r="H9" s="19" t="n">
        <v>5</v>
      </c>
      <c r="I9" s="19" t="n">
        <v>5</v>
      </c>
      <c r="J9" s="19" t="n">
        <v>4</v>
      </c>
      <c r="K9" s="19" t="n">
        <v>0</v>
      </c>
      <c r="L9" s="19" t="n">
        <v>5</v>
      </c>
      <c r="M9" s="24" t="n">
        <f aca="false">SUMPRODUCT($C9:$L9,$C$5:$L$5)</f>
        <v>3.07</v>
      </c>
      <c r="N9" s="25" t="n">
        <f aca="false">M9/5</f>
        <v>0.614</v>
      </c>
      <c r="O9" s="26" t="n">
        <f aca="false">RANK(M9,$M$6:$M$30)</f>
        <v>4</v>
      </c>
      <c r="P9" s="23" t="s">
        <v>101</v>
      </c>
    </row>
    <row r="10" customFormat="false" ht="23.85" hidden="false" customHeight="false" outlineLevel="0" collapsed="false">
      <c r="A10" s="18" t="s">
        <v>102</v>
      </c>
      <c r="B10" s="9" t="s">
        <v>97</v>
      </c>
      <c r="C10" s="19" t="n">
        <v>3</v>
      </c>
      <c r="D10" s="19" t="n">
        <v>0</v>
      </c>
      <c r="E10" s="19" t="n">
        <v>2</v>
      </c>
      <c r="F10" s="19" t="n">
        <v>4</v>
      </c>
      <c r="G10" s="19" t="n">
        <v>5</v>
      </c>
      <c r="H10" s="19" t="n">
        <v>3</v>
      </c>
      <c r="I10" s="19" t="n">
        <v>5</v>
      </c>
      <c r="J10" s="19" t="n">
        <v>3</v>
      </c>
      <c r="K10" s="19" t="n">
        <v>2</v>
      </c>
      <c r="L10" s="19" t="n">
        <v>5</v>
      </c>
      <c r="M10" s="20" t="n">
        <f aca="false">SUMPRODUCT($C10:$L10,$C$5:$L$5)</f>
        <v>3.02</v>
      </c>
      <c r="N10" s="21" t="n">
        <f aca="false">M10/5</f>
        <v>0.604</v>
      </c>
      <c r="O10" s="13" t="n">
        <f aca="false">RANK(M10,$M$6:$M$30)</f>
        <v>5</v>
      </c>
      <c r="P10" s="9" t="s">
        <v>103</v>
      </c>
    </row>
    <row r="11" customFormat="false" ht="23.85" hidden="false" customHeight="false" outlineLevel="0" collapsed="false">
      <c r="A11" s="22" t="s">
        <v>104</v>
      </c>
      <c r="B11" s="23" t="s">
        <v>105</v>
      </c>
      <c r="C11" s="19" t="n">
        <v>1</v>
      </c>
      <c r="D11" s="19" t="n">
        <v>3</v>
      </c>
      <c r="E11" s="19" t="n">
        <v>4</v>
      </c>
      <c r="F11" s="19" t="n">
        <v>4</v>
      </c>
      <c r="G11" s="19" t="n">
        <v>4</v>
      </c>
      <c r="H11" s="19" t="n">
        <v>5</v>
      </c>
      <c r="I11" s="19" t="n">
        <v>4</v>
      </c>
      <c r="J11" s="19" t="n">
        <v>1</v>
      </c>
      <c r="K11" s="19" t="n">
        <v>0</v>
      </c>
      <c r="L11" s="19" t="n">
        <v>5</v>
      </c>
      <c r="M11" s="24" t="n">
        <f aca="false">SUMPRODUCT($C11:$L11,$C$5:$L$5)</f>
        <v>3.01</v>
      </c>
      <c r="N11" s="25" t="n">
        <f aca="false">M11/5</f>
        <v>0.602</v>
      </c>
      <c r="O11" s="26" t="n">
        <f aca="false">RANK(M11,$M$6:$M$30)</f>
        <v>6</v>
      </c>
      <c r="P11" s="23" t="s">
        <v>106</v>
      </c>
    </row>
    <row r="12" customFormat="false" ht="23.85" hidden="false" customHeight="false" outlineLevel="0" collapsed="false">
      <c r="A12" s="18" t="s">
        <v>107</v>
      </c>
      <c r="B12" s="9" t="s">
        <v>105</v>
      </c>
      <c r="C12" s="19" t="n">
        <v>0</v>
      </c>
      <c r="D12" s="19" t="n">
        <v>2</v>
      </c>
      <c r="E12" s="19" t="n">
        <v>4</v>
      </c>
      <c r="F12" s="19" t="n">
        <v>4</v>
      </c>
      <c r="G12" s="19" t="n">
        <v>5</v>
      </c>
      <c r="H12" s="19" t="n">
        <v>5</v>
      </c>
      <c r="I12" s="19" t="n">
        <v>5</v>
      </c>
      <c r="J12" s="19" t="n">
        <v>5</v>
      </c>
      <c r="K12" s="19" t="n">
        <v>0</v>
      </c>
      <c r="L12" s="19" t="n">
        <v>5</v>
      </c>
      <c r="M12" s="20" t="n">
        <f aca="false">SUMPRODUCT($C12:$L12,$C$5:$L$5)</f>
        <v>2.99</v>
      </c>
      <c r="N12" s="21" t="n">
        <f aca="false">M12/5</f>
        <v>0.598</v>
      </c>
      <c r="O12" s="13" t="n">
        <f aca="false">RANK(M12,$M$6:$M$30)</f>
        <v>7</v>
      </c>
      <c r="P12" s="9" t="s">
        <v>108</v>
      </c>
    </row>
    <row r="13" customFormat="false" ht="23.85" hidden="false" customHeight="false" outlineLevel="0" collapsed="false">
      <c r="A13" s="22" t="s">
        <v>109</v>
      </c>
      <c r="B13" s="23" t="s">
        <v>105</v>
      </c>
      <c r="C13" s="19" t="n">
        <v>1</v>
      </c>
      <c r="D13" s="19" t="n">
        <v>2</v>
      </c>
      <c r="E13" s="19" t="n">
        <v>3</v>
      </c>
      <c r="F13" s="19" t="n">
        <v>4</v>
      </c>
      <c r="G13" s="19" t="n">
        <v>5</v>
      </c>
      <c r="H13" s="19" t="n">
        <v>5</v>
      </c>
      <c r="I13" s="19" t="n">
        <v>4</v>
      </c>
      <c r="J13" s="19" t="n">
        <v>2</v>
      </c>
      <c r="K13" s="19" t="n">
        <v>0</v>
      </c>
      <c r="L13" s="19" t="n">
        <v>5</v>
      </c>
      <c r="M13" s="24" t="n">
        <f aca="false">SUMPRODUCT($C13:$L13,$C$5:$L$5)</f>
        <v>2.97</v>
      </c>
      <c r="N13" s="25" t="n">
        <f aca="false">M13/5</f>
        <v>0.594</v>
      </c>
      <c r="O13" s="26" t="n">
        <f aca="false">RANK(M13,$M$6:$M$30)</f>
        <v>8</v>
      </c>
      <c r="P13" s="23" t="s">
        <v>110</v>
      </c>
    </row>
    <row r="14" customFormat="false" ht="15" hidden="false" customHeight="false" outlineLevel="0" collapsed="false">
      <c r="A14" s="18" t="s">
        <v>111</v>
      </c>
      <c r="B14" s="9" t="s">
        <v>105</v>
      </c>
      <c r="C14" s="19" t="n">
        <v>0</v>
      </c>
      <c r="D14" s="19" t="n">
        <v>2</v>
      </c>
      <c r="E14" s="19" t="n">
        <v>3</v>
      </c>
      <c r="F14" s="19" t="n">
        <v>5</v>
      </c>
      <c r="G14" s="19" t="n">
        <v>5</v>
      </c>
      <c r="H14" s="19" t="n">
        <v>5</v>
      </c>
      <c r="I14" s="19" t="n">
        <v>5</v>
      </c>
      <c r="J14" s="19" t="n">
        <v>4</v>
      </c>
      <c r="K14" s="19" t="n">
        <v>0</v>
      </c>
      <c r="L14" s="19" t="n">
        <v>5</v>
      </c>
      <c r="M14" s="20" t="n">
        <f aca="false">SUMPRODUCT($C14:$L14,$C$5:$L$5)</f>
        <v>2.96</v>
      </c>
      <c r="N14" s="21" t="n">
        <f aca="false">M14/5</f>
        <v>0.592</v>
      </c>
      <c r="O14" s="13" t="n">
        <f aca="false">RANK(M14,$M$6:$M$30)</f>
        <v>9</v>
      </c>
      <c r="P14" s="9" t="s">
        <v>112</v>
      </c>
    </row>
    <row r="15" customFormat="false" ht="23.85" hidden="false" customHeight="false" outlineLevel="0" collapsed="false">
      <c r="A15" s="22" t="s">
        <v>113</v>
      </c>
      <c r="B15" s="23" t="s">
        <v>114</v>
      </c>
      <c r="C15" s="19" t="n">
        <v>4</v>
      </c>
      <c r="D15" s="19" t="n">
        <v>0</v>
      </c>
      <c r="E15" s="19" t="n">
        <v>1</v>
      </c>
      <c r="F15" s="19" t="n">
        <v>5</v>
      </c>
      <c r="G15" s="19" t="n">
        <v>5</v>
      </c>
      <c r="H15" s="19" t="n">
        <v>2</v>
      </c>
      <c r="I15" s="19" t="n">
        <v>2</v>
      </c>
      <c r="J15" s="19" t="n">
        <v>1</v>
      </c>
      <c r="K15" s="19" t="n">
        <v>3</v>
      </c>
      <c r="L15" s="19" t="n">
        <v>5</v>
      </c>
      <c r="M15" s="24" t="n">
        <f aca="false">SUMPRODUCT($C15:$L15,$C$5:$L$5)</f>
        <v>2.88</v>
      </c>
      <c r="N15" s="25" t="n">
        <f aca="false">M15/5</f>
        <v>0.576</v>
      </c>
      <c r="O15" s="26" t="n">
        <f aca="false">RANK(M15,$M$6:$M$30)</f>
        <v>10</v>
      </c>
      <c r="P15" s="23" t="s">
        <v>115</v>
      </c>
    </row>
    <row r="16" customFormat="false" ht="23.85" hidden="false" customHeight="false" outlineLevel="0" collapsed="false">
      <c r="A16" s="18" t="s">
        <v>116</v>
      </c>
      <c r="B16" s="9" t="s">
        <v>117</v>
      </c>
      <c r="C16" s="19" t="n">
        <v>5</v>
      </c>
      <c r="D16" s="19" t="n">
        <v>5</v>
      </c>
      <c r="E16" s="19" t="n">
        <v>5</v>
      </c>
      <c r="F16" s="19" t="n">
        <v>2</v>
      </c>
      <c r="G16" s="19" t="n">
        <v>0</v>
      </c>
      <c r="H16" s="19" t="n">
        <v>0</v>
      </c>
      <c r="I16" s="19" t="n">
        <v>0</v>
      </c>
      <c r="J16" s="19" t="n">
        <v>5</v>
      </c>
      <c r="K16" s="19" t="n">
        <v>4</v>
      </c>
      <c r="L16" s="19" t="n">
        <v>0</v>
      </c>
      <c r="M16" s="20" t="n">
        <f aca="false">SUMPRODUCT($C16:$L16,$C$5:$L$5)</f>
        <v>2.84</v>
      </c>
      <c r="N16" s="21" t="n">
        <f aca="false">M16/5</f>
        <v>0.568</v>
      </c>
      <c r="O16" s="13" t="n">
        <f aca="false">RANK(M16,$M$6:$M$30)</f>
        <v>11</v>
      </c>
      <c r="P16" s="9" t="s">
        <v>118</v>
      </c>
    </row>
    <row r="17" customFormat="false" ht="23.85" hidden="false" customHeight="false" outlineLevel="0" collapsed="false">
      <c r="A17" s="22" t="s">
        <v>119</v>
      </c>
      <c r="B17" s="23" t="s">
        <v>120</v>
      </c>
      <c r="C17" s="19" t="n">
        <v>0</v>
      </c>
      <c r="D17" s="19" t="n">
        <v>3</v>
      </c>
      <c r="E17" s="19" t="n">
        <v>2</v>
      </c>
      <c r="F17" s="19" t="n">
        <v>3</v>
      </c>
      <c r="G17" s="19" t="n">
        <v>5</v>
      </c>
      <c r="H17" s="19" t="n">
        <v>5</v>
      </c>
      <c r="I17" s="19" t="n">
        <v>3</v>
      </c>
      <c r="J17" s="19" t="n">
        <v>3</v>
      </c>
      <c r="K17" s="19" t="n">
        <v>1</v>
      </c>
      <c r="L17" s="19" t="n">
        <v>5</v>
      </c>
      <c r="M17" s="24" t="n">
        <f aca="false">SUMPRODUCT($C17:$L17,$C$5:$L$5)</f>
        <v>2.69</v>
      </c>
      <c r="N17" s="25" t="n">
        <f aca="false">M17/5</f>
        <v>0.538</v>
      </c>
      <c r="O17" s="26" t="n">
        <f aca="false">RANK(M17,$M$6:$M$30)</f>
        <v>12</v>
      </c>
      <c r="P17" s="23" t="s">
        <v>121</v>
      </c>
    </row>
    <row r="18" customFormat="false" ht="23.85" hidden="false" customHeight="false" outlineLevel="0" collapsed="false">
      <c r="A18" s="18" t="s">
        <v>122</v>
      </c>
      <c r="B18" s="9" t="s">
        <v>105</v>
      </c>
      <c r="C18" s="19" t="n">
        <v>0</v>
      </c>
      <c r="D18" s="19" t="n">
        <v>2</v>
      </c>
      <c r="E18" s="19" t="n">
        <v>3</v>
      </c>
      <c r="F18" s="19" t="n">
        <v>4</v>
      </c>
      <c r="G18" s="19" t="n">
        <v>5</v>
      </c>
      <c r="H18" s="19" t="n">
        <v>4</v>
      </c>
      <c r="I18" s="19" t="n">
        <v>4</v>
      </c>
      <c r="J18" s="19" t="n">
        <v>4</v>
      </c>
      <c r="K18" s="19" t="n">
        <v>0</v>
      </c>
      <c r="L18" s="19" t="n">
        <v>5</v>
      </c>
      <c r="M18" s="20" t="n">
        <f aca="false">SUMPRODUCT($C18:$L18,$C$5:$L$5)</f>
        <v>2.65</v>
      </c>
      <c r="N18" s="21" t="n">
        <f aca="false">M18/5</f>
        <v>0.53</v>
      </c>
      <c r="O18" s="13" t="n">
        <f aca="false">RANK(M18,$M$6:$M$30)</f>
        <v>13</v>
      </c>
      <c r="P18" s="9" t="s">
        <v>123</v>
      </c>
    </row>
    <row r="19" customFormat="false" ht="23.85" hidden="false" customHeight="false" outlineLevel="0" collapsed="false">
      <c r="A19" s="22" t="s">
        <v>124</v>
      </c>
      <c r="B19" s="23" t="s">
        <v>125</v>
      </c>
      <c r="C19" s="19" t="n">
        <v>2</v>
      </c>
      <c r="D19" s="19" t="n">
        <v>2</v>
      </c>
      <c r="E19" s="19" t="n">
        <v>2</v>
      </c>
      <c r="F19" s="19" t="n">
        <v>3</v>
      </c>
      <c r="G19" s="19" t="n">
        <v>4</v>
      </c>
      <c r="H19" s="19" t="n">
        <v>4</v>
      </c>
      <c r="I19" s="19" t="n">
        <v>2</v>
      </c>
      <c r="J19" s="19" t="n">
        <v>1</v>
      </c>
      <c r="K19" s="19" t="n">
        <v>0</v>
      </c>
      <c r="L19" s="19" t="n">
        <v>5</v>
      </c>
      <c r="M19" s="24" t="n">
        <f aca="false">SUMPRODUCT($C19:$L19,$C$5:$L$5)</f>
        <v>2.59</v>
      </c>
      <c r="N19" s="25" t="n">
        <f aca="false">M19/5</f>
        <v>0.518</v>
      </c>
      <c r="O19" s="26" t="n">
        <f aca="false">RANK(M19,$M$6:$M$30)</f>
        <v>14</v>
      </c>
      <c r="P19" s="23" t="s">
        <v>126</v>
      </c>
    </row>
    <row r="20" customFormat="false" ht="23.85" hidden="false" customHeight="false" outlineLevel="0" collapsed="false">
      <c r="A20" s="18" t="s">
        <v>127</v>
      </c>
      <c r="B20" s="9" t="s">
        <v>128</v>
      </c>
      <c r="C20" s="19" t="n">
        <v>2</v>
      </c>
      <c r="D20" s="19" t="n">
        <v>3</v>
      </c>
      <c r="E20" s="19" t="n">
        <v>4</v>
      </c>
      <c r="F20" s="19" t="n">
        <v>2</v>
      </c>
      <c r="G20" s="19" t="n">
        <v>1</v>
      </c>
      <c r="H20" s="19" t="n">
        <v>3</v>
      </c>
      <c r="I20" s="19" t="n">
        <v>5</v>
      </c>
      <c r="J20" s="19" t="n">
        <v>4</v>
      </c>
      <c r="K20" s="19" t="n">
        <v>1</v>
      </c>
      <c r="L20" s="19" t="n">
        <v>1</v>
      </c>
      <c r="M20" s="20" t="n">
        <f aca="false">SUMPRODUCT($C20:$L20,$C$5:$L$5)</f>
        <v>2.54</v>
      </c>
      <c r="N20" s="21" t="n">
        <f aca="false">M20/5</f>
        <v>0.508</v>
      </c>
      <c r="O20" s="13" t="n">
        <f aca="false">RANK(M20,$M$6:$M$30)</f>
        <v>15</v>
      </c>
      <c r="P20" s="9" t="s">
        <v>129</v>
      </c>
    </row>
    <row r="21" customFormat="false" ht="15" hidden="false" customHeight="false" outlineLevel="0" collapsed="false">
      <c r="A21" s="22" t="s">
        <v>130</v>
      </c>
      <c r="B21" s="23" t="s">
        <v>105</v>
      </c>
      <c r="C21" s="19" t="n">
        <v>0</v>
      </c>
      <c r="D21" s="19" t="n">
        <v>2</v>
      </c>
      <c r="E21" s="19" t="n">
        <v>3</v>
      </c>
      <c r="F21" s="19" t="n">
        <v>4</v>
      </c>
      <c r="G21" s="19" t="n">
        <v>4</v>
      </c>
      <c r="H21" s="19" t="n">
        <v>5</v>
      </c>
      <c r="I21" s="19" t="n">
        <v>3</v>
      </c>
      <c r="J21" s="19" t="n">
        <v>2</v>
      </c>
      <c r="K21" s="19" t="n">
        <v>0</v>
      </c>
      <c r="L21" s="19" t="n">
        <v>5</v>
      </c>
      <c r="M21" s="24" t="n">
        <f aca="false">SUMPRODUCT($C21:$L21,$C$5:$L$5)</f>
        <v>2.52</v>
      </c>
      <c r="N21" s="25" t="n">
        <f aca="false">M21/5</f>
        <v>0.504</v>
      </c>
      <c r="O21" s="26" t="n">
        <f aca="false">RANK(M21,$M$6:$M$30)</f>
        <v>16</v>
      </c>
      <c r="P21" s="23" t="s">
        <v>131</v>
      </c>
    </row>
    <row r="22" customFormat="false" ht="23.85" hidden="false" customHeight="false" outlineLevel="0" collapsed="false">
      <c r="A22" s="18" t="s">
        <v>132</v>
      </c>
      <c r="B22" s="9" t="s">
        <v>133</v>
      </c>
      <c r="C22" s="19" t="n">
        <v>3</v>
      </c>
      <c r="D22" s="19" t="n">
        <v>1</v>
      </c>
      <c r="E22" s="19" t="n">
        <v>3</v>
      </c>
      <c r="F22" s="19" t="n">
        <v>4</v>
      </c>
      <c r="G22" s="19" t="n">
        <v>4</v>
      </c>
      <c r="H22" s="19" t="n">
        <v>0</v>
      </c>
      <c r="I22" s="19" t="n">
        <v>0</v>
      </c>
      <c r="J22" s="19" t="n">
        <v>3</v>
      </c>
      <c r="K22" s="19" t="n">
        <v>5</v>
      </c>
      <c r="L22" s="19" t="n">
        <v>5</v>
      </c>
      <c r="M22" s="20" t="n">
        <f aca="false">SUMPRODUCT($C22:$L22,$C$5:$L$5)</f>
        <v>2.42</v>
      </c>
      <c r="N22" s="21" t="n">
        <f aca="false">M22/5</f>
        <v>0.484</v>
      </c>
      <c r="O22" s="13" t="n">
        <f aca="false">RANK(M22,$M$6:$M$30)</f>
        <v>17</v>
      </c>
      <c r="P22" s="9" t="s">
        <v>134</v>
      </c>
    </row>
    <row r="23" customFormat="false" ht="15" hidden="false" customHeight="false" outlineLevel="0" collapsed="false">
      <c r="A23" s="22" t="s">
        <v>135</v>
      </c>
      <c r="B23" s="23" t="s">
        <v>128</v>
      </c>
      <c r="C23" s="19" t="n">
        <v>2</v>
      </c>
      <c r="D23" s="19" t="n">
        <v>3</v>
      </c>
      <c r="E23" s="19" t="n">
        <v>4</v>
      </c>
      <c r="F23" s="19" t="n">
        <v>2</v>
      </c>
      <c r="G23" s="19" t="n">
        <v>1</v>
      </c>
      <c r="H23" s="19" t="n">
        <v>2</v>
      </c>
      <c r="I23" s="19" t="n">
        <v>4</v>
      </c>
      <c r="J23" s="19" t="n">
        <v>4</v>
      </c>
      <c r="K23" s="19" t="n">
        <v>1</v>
      </c>
      <c r="L23" s="19" t="n">
        <v>1</v>
      </c>
      <c r="M23" s="24" t="n">
        <f aca="false">SUMPRODUCT($C23:$L23,$C$5:$L$5)</f>
        <v>2.32</v>
      </c>
      <c r="N23" s="25" t="n">
        <f aca="false">M23/5</f>
        <v>0.464</v>
      </c>
      <c r="O23" s="26" t="n">
        <f aca="false">RANK(M23,$M$6:$M$30)</f>
        <v>18</v>
      </c>
      <c r="P23" s="23" t="s">
        <v>136</v>
      </c>
    </row>
    <row r="24" customFormat="false" ht="23.85" hidden="false" customHeight="false" outlineLevel="0" collapsed="false">
      <c r="A24" s="18" t="s">
        <v>137</v>
      </c>
      <c r="B24" s="9" t="s">
        <v>138</v>
      </c>
      <c r="C24" s="19" t="n">
        <v>3</v>
      </c>
      <c r="D24" s="19" t="n">
        <v>1</v>
      </c>
      <c r="E24" s="19" t="n">
        <v>2</v>
      </c>
      <c r="F24" s="19" t="n">
        <v>3</v>
      </c>
      <c r="G24" s="19" t="n">
        <v>3</v>
      </c>
      <c r="H24" s="19" t="n">
        <v>2</v>
      </c>
      <c r="I24" s="19" t="n">
        <v>1</v>
      </c>
      <c r="J24" s="19" t="n">
        <v>0</v>
      </c>
      <c r="K24" s="19" t="n">
        <v>3</v>
      </c>
      <c r="L24" s="19" t="n">
        <v>3</v>
      </c>
      <c r="M24" s="20" t="n">
        <f aca="false">SUMPRODUCT($C24:$L24,$C$5:$L$5)</f>
        <v>2.25</v>
      </c>
      <c r="N24" s="21" t="n">
        <f aca="false">M24/5</f>
        <v>0.45</v>
      </c>
      <c r="O24" s="13" t="n">
        <f aca="false">RANK(M24,$M$6:$M$30)</f>
        <v>19</v>
      </c>
      <c r="P24" s="9" t="s">
        <v>139</v>
      </c>
    </row>
    <row r="25" customFormat="false" ht="15" hidden="false" customHeight="false" outlineLevel="0" collapsed="false">
      <c r="A25" s="22" t="s">
        <v>140</v>
      </c>
      <c r="B25" s="23" t="s">
        <v>128</v>
      </c>
      <c r="C25" s="19" t="n">
        <v>1</v>
      </c>
      <c r="D25" s="19" t="n">
        <v>3</v>
      </c>
      <c r="E25" s="19" t="n">
        <v>3</v>
      </c>
      <c r="F25" s="19" t="n">
        <v>2</v>
      </c>
      <c r="G25" s="19" t="n">
        <v>1</v>
      </c>
      <c r="H25" s="19" t="n">
        <v>3</v>
      </c>
      <c r="I25" s="19" t="n">
        <v>5</v>
      </c>
      <c r="J25" s="19" t="n">
        <v>4</v>
      </c>
      <c r="K25" s="19" t="n">
        <v>0</v>
      </c>
      <c r="L25" s="19" t="n">
        <v>2</v>
      </c>
      <c r="M25" s="24" t="n">
        <f aca="false">SUMPRODUCT($C25:$L25,$C$5:$L$5)</f>
        <v>2.19</v>
      </c>
      <c r="N25" s="25" t="n">
        <f aca="false">M25/5</f>
        <v>0.438</v>
      </c>
      <c r="O25" s="26" t="n">
        <f aca="false">RANK(M25,$M$6:$M$30)</f>
        <v>20</v>
      </c>
      <c r="P25" s="23" t="s">
        <v>141</v>
      </c>
    </row>
    <row r="26" customFormat="false" ht="15" hidden="false" customHeight="false" outlineLevel="0" collapsed="false">
      <c r="A26" s="18" t="s">
        <v>142</v>
      </c>
      <c r="B26" s="9" t="s">
        <v>128</v>
      </c>
      <c r="C26" s="19" t="n">
        <v>1</v>
      </c>
      <c r="D26" s="19" t="n">
        <v>3</v>
      </c>
      <c r="E26" s="19" t="n">
        <v>3</v>
      </c>
      <c r="F26" s="19" t="n">
        <v>2</v>
      </c>
      <c r="G26" s="19" t="n">
        <v>1</v>
      </c>
      <c r="H26" s="19" t="n">
        <v>3</v>
      </c>
      <c r="I26" s="19" t="n">
        <v>5</v>
      </c>
      <c r="J26" s="19" t="n">
        <v>4</v>
      </c>
      <c r="K26" s="19" t="n">
        <v>0</v>
      </c>
      <c r="L26" s="19" t="n">
        <v>2</v>
      </c>
      <c r="M26" s="20" t="n">
        <f aca="false">SUMPRODUCT($C26:$L26,$C$5:$L$5)</f>
        <v>2.19</v>
      </c>
      <c r="N26" s="21" t="n">
        <f aca="false">M26/5</f>
        <v>0.438</v>
      </c>
      <c r="O26" s="13" t="n">
        <f aca="false">RANK(M26,$M$6:$M$30)</f>
        <v>20</v>
      </c>
      <c r="P26" s="9" t="s">
        <v>143</v>
      </c>
    </row>
    <row r="27" customFormat="false" ht="15" hidden="false" customHeight="false" outlineLevel="0" collapsed="false">
      <c r="A27" s="22" t="s">
        <v>144</v>
      </c>
      <c r="B27" s="23" t="s">
        <v>145</v>
      </c>
      <c r="C27" s="19" t="n">
        <v>0</v>
      </c>
      <c r="D27" s="19" t="n">
        <v>0</v>
      </c>
      <c r="E27" s="19" t="n">
        <v>0</v>
      </c>
      <c r="F27" s="19" t="n">
        <v>4</v>
      </c>
      <c r="G27" s="19" t="n">
        <v>5</v>
      </c>
      <c r="H27" s="19" t="n">
        <v>5</v>
      </c>
      <c r="I27" s="19" t="n">
        <v>4</v>
      </c>
      <c r="J27" s="19" t="n">
        <v>1</v>
      </c>
      <c r="K27" s="19" t="n">
        <v>0</v>
      </c>
      <c r="L27" s="19" t="n">
        <v>5</v>
      </c>
      <c r="M27" s="24" t="n">
        <f aca="false">SUMPRODUCT($C27:$L27,$C$5:$L$5)</f>
        <v>2.18</v>
      </c>
      <c r="N27" s="25" t="n">
        <f aca="false">M27/5</f>
        <v>0.436</v>
      </c>
      <c r="O27" s="26" t="n">
        <f aca="false">RANK(M27,$M$6:$M$30)</f>
        <v>22</v>
      </c>
      <c r="P27" s="23" t="s">
        <v>146</v>
      </c>
    </row>
    <row r="28" customFormat="false" ht="23.85" hidden="false" customHeight="false" outlineLevel="0" collapsed="false">
      <c r="A28" s="18" t="s">
        <v>147</v>
      </c>
      <c r="B28" s="9" t="s">
        <v>148</v>
      </c>
      <c r="C28" s="19" t="n">
        <v>2</v>
      </c>
      <c r="D28" s="19" t="n">
        <v>0</v>
      </c>
      <c r="E28" s="19" t="n">
        <v>3</v>
      </c>
      <c r="F28" s="19" t="n">
        <v>2</v>
      </c>
      <c r="G28" s="19" t="n">
        <v>2</v>
      </c>
      <c r="H28" s="19" t="n">
        <v>1</v>
      </c>
      <c r="I28" s="19" t="n">
        <v>5</v>
      </c>
      <c r="J28" s="19" t="n">
        <v>5</v>
      </c>
      <c r="K28" s="19" t="n">
        <v>2</v>
      </c>
      <c r="L28" s="19" t="n">
        <v>5</v>
      </c>
      <c r="M28" s="20" t="n">
        <f aca="false">SUMPRODUCT($C28:$L28,$C$5:$L$5)</f>
        <v>2.06</v>
      </c>
      <c r="N28" s="21" t="n">
        <f aca="false">M28/5</f>
        <v>0.412</v>
      </c>
      <c r="O28" s="13" t="n">
        <f aca="false">RANK(M28,$M$6:$M$30)</f>
        <v>23</v>
      </c>
      <c r="P28" s="9" t="s">
        <v>149</v>
      </c>
    </row>
    <row r="29" customFormat="false" ht="15" hidden="false" customHeight="false" outlineLevel="0" collapsed="false">
      <c r="A29" s="22" t="s">
        <v>150</v>
      </c>
      <c r="B29" s="23" t="s">
        <v>125</v>
      </c>
      <c r="C29" s="19" t="n">
        <v>1</v>
      </c>
      <c r="D29" s="19" t="n">
        <v>2</v>
      </c>
      <c r="E29" s="19" t="n">
        <v>2</v>
      </c>
      <c r="F29" s="19" t="n">
        <v>3</v>
      </c>
      <c r="G29" s="19" t="n">
        <v>3</v>
      </c>
      <c r="H29" s="19" t="n">
        <v>3</v>
      </c>
      <c r="I29" s="19" t="n">
        <v>1</v>
      </c>
      <c r="J29" s="19" t="n">
        <v>0</v>
      </c>
      <c r="K29" s="19" t="n">
        <v>0</v>
      </c>
      <c r="L29" s="19" t="n">
        <v>4</v>
      </c>
      <c r="M29" s="24" t="n">
        <f aca="false">SUMPRODUCT($C29:$L29,$C$5:$L$5)</f>
        <v>1.93</v>
      </c>
      <c r="N29" s="25" t="n">
        <f aca="false">M29/5</f>
        <v>0.386</v>
      </c>
      <c r="O29" s="26" t="n">
        <f aca="false">RANK(M29,$M$6:$M$30)</f>
        <v>24</v>
      </c>
      <c r="P29" s="23" t="s">
        <v>151</v>
      </c>
    </row>
    <row r="30" customFormat="false" ht="15" hidden="false" customHeight="false" outlineLevel="0" collapsed="false">
      <c r="A30" s="18" t="s">
        <v>152</v>
      </c>
      <c r="B30" s="9" t="s">
        <v>145</v>
      </c>
      <c r="C30" s="19" t="n">
        <v>0</v>
      </c>
      <c r="D30" s="19" t="n">
        <v>0</v>
      </c>
      <c r="E30" s="19" t="n">
        <v>0</v>
      </c>
      <c r="F30" s="19" t="n">
        <v>3</v>
      </c>
      <c r="G30" s="19" t="n">
        <v>4</v>
      </c>
      <c r="H30" s="19" t="n">
        <v>2</v>
      </c>
      <c r="I30" s="19" t="n">
        <v>1</v>
      </c>
      <c r="J30" s="19" t="n">
        <v>0</v>
      </c>
      <c r="K30" s="19" t="n">
        <v>0</v>
      </c>
      <c r="L30" s="19" t="n">
        <v>2</v>
      </c>
      <c r="M30" s="20" t="n">
        <f aca="false">SUMPRODUCT($C30:$L30,$C$5:$L$5)</f>
        <v>1.2</v>
      </c>
      <c r="N30" s="21" t="n">
        <f aca="false">M30/5</f>
        <v>0.24</v>
      </c>
      <c r="O30" s="13" t="n">
        <f aca="false">RANK(M30,$M$6:$M$30)</f>
        <v>25</v>
      </c>
      <c r="P30" s="9" t="s">
        <v>153</v>
      </c>
    </row>
    <row r="32" customFormat="false" ht="15" hidden="false" customHeight="true" outlineLevel="0" collapsed="false">
      <c r="A32" s="27" t="s">
        <v>154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</row>
    <row r="33" customFormat="false" ht="15" hidden="false" customHeight="false" outlineLevel="0" collapsed="false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</row>
  </sheetData>
  <autoFilter ref="A4:P30"/>
  <mergeCells count="1">
    <mergeCell ref="A32:P33"/>
  </mergeCells>
  <conditionalFormatting sqref="C6:L30">
    <cfRule type="colorScale" priority="2">
      <colorScale>
        <cfvo type="num" val="0"/>
        <cfvo type="num" val="2.5"/>
        <cfvo type="num" val="5"/>
        <color rgb="FFF8696B"/>
        <color rgb="FFFFEB84"/>
        <color rgb="FF63BE7B"/>
      </colorScale>
    </cfRule>
  </conditionalFormatting>
  <conditionalFormatting sqref="M6:M30">
    <cfRule type="colorScale" priority="3">
      <colorScale>
        <cfvo type="min" val="0"/>
        <cfvo type="max" val="0"/>
        <color rgb="FFFFFFFF"/>
        <color rgb="FF8EA9DB"/>
      </colorScale>
    </cfRule>
  </conditionalFormatting>
  <dataValidations count="1">
    <dataValidation allowBlank="false" error="Scores must be a whole number 0–5." errorStyle="stop" errorTitle="Invalid score" operator="between" showDropDown="false" showErrorMessage="false" showInputMessage="false" sqref="C6:L30" type="whole">
      <formula1>0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34"/>
    <col collapsed="false" customWidth="true" hidden="false" outlineLevel="0" max="3" min="3" style="0" width="22"/>
    <col collapsed="false" customWidth="true" hidden="false" outlineLevel="0" max="4" min="4" style="0" width="40"/>
    <col collapsed="false" customWidth="true" hidden="false" outlineLevel="0" max="5" min="5" style="0" width="30"/>
    <col collapsed="false" customWidth="true" hidden="false" outlineLevel="0" max="6" min="6" style="0" width="32"/>
    <col collapsed="false" customWidth="true" hidden="false" outlineLevel="0" max="7" min="7" style="0" width="18"/>
    <col collapsed="false" customWidth="true" hidden="false" outlineLevel="0" max="8" min="8" style="0" width="14"/>
    <col collapsed="false" customWidth="true" hidden="false" outlineLevel="0" max="9" min="9" style="0" width="46"/>
    <col collapsed="false" customWidth="true" hidden="false" outlineLevel="0" max="10" min="10" style="0" width="62"/>
  </cols>
  <sheetData>
    <row r="1" customFormat="false" ht="17.35" hidden="false" customHeight="false" outlineLevel="0" collapsed="false">
      <c r="A1" s="6" t="s">
        <v>155</v>
      </c>
    </row>
    <row r="2" customFormat="false" ht="15" hidden="false" customHeight="false" outlineLevel="0" collapsed="false">
      <c r="A2" s="2" t="s">
        <v>156</v>
      </c>
    </row>
    <row r="4" customFormat="false" ht="30" hidden="false" customHeight="true" outlineLevel="0" collapsed="false">
      <c r="A4" s="7" t="s">
        <v>73</v>
      </c>
      <c r="B4" s="7" t="s">
        <v>157</v>
      </c>
      <c r="C4" s="7" t="s">
        <v>74</v>
      </c>
      <c r="D4" s="7" t="s">
        <v>158</v>
      </c>
      <c r="E4" s="7" t="s">
        <v>159</v>
      </c>
      <c r="F4" s="7" t="s">
        <v>160</v>
      </c>
      <c r="G4" s="7" t="s">
        <v>161</v>
      </c>
      <c r="H4" s="7" t="s">
        <v>162</v>
      </c>
      <c r="I4" s="7" t="s">
        <v>163</v>
      </c>
      <c r="J4" s="7" t="s">
        <v>164</v>
      </c>
    </row>
    <row r="5" customFormat="false" ht="23.85" hidden="false" customHeight="false" outlineLevel="0" collapsed="false">
      <c r="A5" s="18" t="s">
        <v>113</v>
      </c>
      <c r="B5" s="9" t="s">
        <v>165</v>
      </c>
      <c r="C5" s="9" t="s">
        <v>114</v>
      </c>
      <c r="D5" s="9" t="s">
        <v>166</v>
      </c>
      <c r="E5" s="9" t="s">
        <v>167</v>
      </c>
      <c r="F5" s="9" t="s">
        <v>168</v>
      </c>
      <c r="G5" s="9" t="s">
        <v>169</v>
      </c>
      <c r="H5" s="9" t="s">
        <v>170</v>
      </c>
      <c r="I5" s="28" t="s">
        <v>171</v>
      </c>
      <c r="J5" s="9" t="s">
        <v>172</v>
      </c>
    </row>
    <row r="6" customFormat="false" ht="35.05" hidden="false" customHeight="false" outlineLevel="0" collapsed="false">
      <c r="A6" s="22" t="s">
        <v>173</v>
      </c>
      <c r="B6" s="23" t="s">
        <v>174</v>
      </c>
      <c r="C6" s="23" t="s">
        <v>97</v>
      </c>
      <c r="D6" s="23" t="s">
        <v>175</v>
      </c>
      <c r="E6" s="23" t="s">
        <v>176</v>
      </c>
      <c r="F6" s="23" t="s">
        <v>177</v>
      </c>
      <c r="G6" s="23" t="s">
        <v>178</v>
      </c>
      <c r="H6" s="23" t="s">
        <v>179</v>
      </c>
      <c r="I6" s="29" t="s">
        <v>180</v>
      </c>
      <c r="J6" s="23" t="s">
        <v>181</v>
      </c>
    </row>
    <row r="7" customFormat="false" ht="15" hidden="false" customHeight="false" outlineLevel="0" collapsed="false">
      <c r="A7" s="18" t="s">
        <v>137</v>
      </c>
      <c r="B7" s="9" t="s">
        <v>182</v>
      </c>
      <c r="C7" s="9" t="s">
        <v>138</v>
      </c>
      <c r="D7" s="9" t="s">
        <v>183</v>
      </c>
      <c r="E7" s="9" t="s">
        <v>184</v>
      </c>
      <c r="F7" s="9" t="s">
        <v>185</v>
      </c>
      <c r="G7" s="9" t="s">
        <v>186</v>
      </c>
      <c r="H7" s="9" t="s">
        <v>187</v>
      </c>
      <c r="I7" s="28" t="s">
        <v>188</v>
      </c>
      <c r="J7" s="9" t="s">
        <v>189</v>
      </c>
    </row>
    <row r="8" customFormat="false" ht="23.85" hidden="false" customHeight="false" outlineLevel="0" collapsed="false">
      <c r="A8" s="22" t="s">
        <v>190</v>
      </c>
      <c r="B8" s="23" t="s">
        <v>191</v>
      </c>
      <c r="C8" s="23" t="s">
        <v>91</v>
      </c>
      <c r="D8" s="23" t="s">
        <v>192</v>
      </c>
      <c r="E8" s="23" t="s">
        <v>193</v>
      </c>
      <c r="F8" s="23" t="s">
        <v>194</v>
      </c>
      <c r="G8" s="23" t="s">
        <v>178</v>
      </c>
      <c r="H8" s="23" t="s">
        <v>195</v>
      </c>
      <c r="I8" s="29" t="s">
        <v>196</v>
      </c>
      <c r="J8" s="23" t="s">
        <v>197</v>
      </c>
    </row>
    <row r="9" customFormat="false" ht="23.85" hidden="false" customHeight="false" outlineLevel="0" collapsed="false">
      <c r="A9" s="18" t="s">
        <v>198</v>
      </c>
      <c r="B9" s="9" t="s">
        <v>199</v>
      </c>
      <c r="C9" s="9" t="s">
        <v>200</v>
      </c>
      <c r="D9" s="9" t="s">
        <v>201</v>
      </c>
      <c r="E9" s="9" t="s">
        <v>202</v>
      </c>
      <c r="F9" s="9" t="s">
        <v>203</v>
      </c>
      <c r="G9" s="9" t="s">
        <v>178</v>
      </c>
      <c r="H9" s="9" t="s">
        <v>204</v>
      </c>
      <c r="I9" s="28" t="s">
        <v>205</v>
      </c>
      <c r="J9" s="9" t="s">
        <v>206</v>
      </c>
    </row>
    <row r="10" customFormat="false" ht="23.85" hidden="false" customHeight="false" outlineLevel="0" collapsed="false">
      <c r="A10" s="22" t="s">
        <v>207</v>
      </c>
      <c r="B10" s="23" t="s">
        <v>182</v>
      </c>
      <c r="C10" s="23" t="s">
        <v>133</v>
      </c>
      <c r="D10" s="23" t="s">
        <v>208</v>
      </c>
      <c r="E10" s="23" t="s">
        <v>209</v>
      </c>
      <c r="F10" s="23" t="s">
        <v>210</v>
      </c>
      <c r="G10" s="23" t="s">
        <v>178</v>
      </c>
      <c r="H10" s="23" t="s">
        <v>211</v>
      </c>
      <c r="I10" s="29" t="s">
        <v>212</v>
      </c>
      <c r="J10" s="23" t="s">
        <v>213</v>
      </c>
    </row>
    <row r="11" customFormat="false" ht="23.85" hidden="false" customHeight="false" outlineLevel="0" collapsed="false">
      <c r="A11" s="18" t="s">
        <v>214</v>
      </c>
      <c r="B11" s="9" t="s">
        <v>215</v>
      </c>
      <c r="C11" s="9" t="s">
        <v>216</v>
      </c>
      <c r="D11" s="9" t="s">
        <v>217</v>
      </c>
      <c r="E11" s="9" t="s">
        <v>218</v>
      </c>
      <c r="F11" s="9" t="s">
        <v>219</v>
      </c>
      <c r="G11" s="9" t="s">
        <v>178</v>
      </c>
      <c r="H11" s="9" t="s">
        <v>220</v>
      </c>
      <c r="I11" s="28" t="s">
        <v>188</v>
      </c>
      <c r="J11" s="9" t="s">
        <v>221</v>
      </c>
    </row>
    <row r="12" customFormat="false" ht="23.85" hidden="false" customHeight="false" outlineLevel="0" collapsed="false">
      <c r="A12" s="22" t="s">
        <v>222</v>
      </c>
      <c r="B12" s="23" t="s">
        <v>182</v>
      </c>
      <c r="C12" s="23" t="s">
        <v>223</v>
      </c>
      <c r="D12" s="23" t="s">
        <v>224</v>
      </c>
      <c r="E12" s="23" t="s">
        <v>225</v>
      </c>
      <c r="F12" s="23" t="s">
        <v>219</v>
      </c>
      <c r="G12" s="23" t="s">
        <v>178</v>
      </c>
      <c r="H12" s="23" t="s">
        <v>226</v>
      </c>
      <c r="I12" s="29" t="s">
        <v>227</v>
      </c>
      <c r="J12" s="23" t="s">
        <v>228</v>
      </c>
    </row>
    <row r="13" customFormat="false" ht="23.85" hidden="false" customHeight="false" outlineLevel="0" collapsed="false">
      <c r="A13" s="18" t="s">
        <v>229</v>
      </c>
      <c r="B13" s="9" t="s">
        <v>230</v>
      </c>
      <c r="C13" s="9" t="s">
        <v>231</v>
      </c>
      <c r="D13" s="9" t="s">
        <v>232</v>
      </c>
      <c r="E13" s="9" t="s">
        <v>225</v>
      </c>
      <c r="F13" s="9" t="s">
        <v>219</v>
      </c>
      <c r="G13" s="9" t="s">
        <v>178</v>
      </c>
      <c r="H13" s="9" t="s">
        <v>233</v>
      </c>
      <c r="I13" s="28" t="s">
        <v>234</v>
      </c>
      <c r="J13" s="9" t="s">
        <v>235</v>
      </c>
    </row>
    <row r="14" customFormat="false" ht="23.85" hidden="false" customHeight="false" outlineLevel="0" collapsed="false">
      <c r="A14" s="22" t="s">
        <v>236</v>
      </c>
      <c r="B14" s="23" t="s">
        <v>230</v>
      </c>
      <c r="C14" s="23" t="s">
        <v>231</v>
      </c>
      <c r="D14" s="23" t="s">
        <v>237</v>
      </c>
      <c r="E14" s="23" t="s">
        <v>225</v>
      </c>
      <c r="F14" s="23" t="s">
        <v>219</v>
      </c>
      <c r="G14" s="23" t="s">
        <v>178</v>
      </c>
      <c r="H14" s="23" t="s">
        <v>238</v>
      </c>
      <c r="I14" s="29" t="s">
        <v>239</v>
      </c>
      <c r="J14" s="23" t="s">
        <v>240</v>
      </c>
    </row>
    <row r="15" customFormat="false" ht="23.85" hidden="false" customHeight="false" outlineLevel="0" collapsed="false">
      <c r="A15" s="18" t="s">
        <v>241</v>
      </c>
      <c r="B15" s="9" t="s">
        <v>230</v>
      </c>
      <c r="C15" s="9" t="s">
        <v>231</v>
      </c>
      <c r="D15" s="9" t="s">
        <v>242</v>
      </c>
      <c r="E15" s="9" t="s">
        <v>243</v>
      </c>
      <c r="F15" s="9" t="s">
        <v>219</v>
      </c>
      <c r="G15" s="9" t="s">
        <v>178</v>
      </c>
      <c r="H15" s="9" t="s">
        <v>244</v>
      </c>
      <c r="I15" s="28" t="s">
        <v>245</v>
      </c>
      <c r="J15" s="9" t="s">
        <v>246</v>
      </c>
    </row>
    <row r="16" customFormat="false" ht="23.85" hidden="false" customHeight="false" outlineLevel="0" collapsed="false">
      <c r="A16" s="22" t="s">
        <v>247</v>
      </c>
      <c r="B16" s="23" t="s">
        <v>248</v>
      </c>
      <c r="C16" s="23" t="s">
        <v>249</v>
      </c>
      <c r="D16" s="23" t="s">
        <v>250</v>
      </c>
      <c r="E16" s="23" t="s">
        <v>251</v>
      </c>
      <c r="F16" s="23" t="s">
        <v>219</v>
      </c>
      <c r="G16" s="23" t="s">
        <v>178</v>
      </c>
      <c r="H16" s="23" t="s">
        <v>252</v>
      </c>
      <c r="I16" s="29" t="s">
        <v>253</v>
      </c>
      <c r="J16" s="23" t="s">
        <v>254</v>
      </c>
    </row>
    <row r="17" customFormat="false" ht="23.85" hidden="false" customHeight="false" outlineLevel="0" collapsed="false">
      <c r="A17" s="18" t="s">
        <v>255</v>
      </c>
      <c r="B17" s="9" t="s">
        <v>256</v>
      </c>
      <c r="C17" s="9" t="s">
        <v>94</v>
      </c>
      <c r="D17" s="9" t="s">
        <v>257</v>
      </c>
      <c r="E17" s="9" t="s">
        <v>258</v>
      </c>
      <c r="F17" s="9" t="s">
        <v>259</v>
      </c>
      <c r="G17" s="9" t="s">
        <v>178</v>
      </c>
      <c r="H17" s="9" t="s">
        <v>260</v>
      </c>
      <c r="I17" s="28" t="s">
        <v>261</v>
      </c>
      <c r="J17" s="9" t="s">
        <v>262</v>
      </c>
    </row>
    <row r="18" customFormat="false" ht="23.85" hidden="false" customHeight="false" outlineLevel="0" collapsed="false">
      <c r="A18" s="22" t="s">
        <v>107</v>
      </c>
      <c r="B18" s="23" t="s">
        <v>263</v>
      </c>
      <c r="C18" s="23" t="s">
        <v>105</v>
      </c>
      <c r="D18" s="23" t="s">
        <v>264</v>
      </c>
      <c r="E18" s="23" t="s">
        <v>265</v>
      </c>
      <c r="F18" s="23" t="s">
        <v>266</v>
      </c>
      <c r="G18" s="23" t="s">
        <v>178</v>
      </c>
      <c r="H18" s="23" t="s">
        <v>267</v>
      </c>
      <c r="I18" s="29" t="s">
        <v>268</v>
      </c>
      <c r="J18" s="23" t="s">
        <v>269</v>
      </c>
    </row>
    <row r="19" customFormat="false" ht="23.85" hidden="false" customHeight="false" outlineLevel="0" collapsed="false">
      <c r="A19" s="18" t="s">
        <v>270</v>
      </c>
      <c r="B19" s="9" t="s">
        <v>271</v>
      </c>
      <c r="C19" s="9" t="s">
        <v>145</v>
      </c>
      <c r="D19" s="9" t="s">
        <v>272</v>
      </c>
      <c r="E19" s="9" t="s">
        <v>273</v>
      </c>
      <c r="F19" s="9" t="s">
        <v>274</v>
      </c>
      <c r="G19" s="9" t="s">
        <v>178</v>
      </c>
      <c r="H19" s="9" t="s">
        <v>275</v>
      </c>
      <c r="I19" s="28" t="s">
        <v>276</v>
      </c>
      <c r="J19" s="9" t="s">
        <v>277</v>
      </c>
    </row>
    <row r="20" customFormat="false" ht="15" hidden="false" customHeight="false" outlineLevel="0" collapsed="false">
      <c r="A20" s="22" t="s">
        <v>278</v>
      </c>
      <c r="B20" s="23" t="s">
        <v>279</v>
      </c>
      <c r="C20" s="23" t="s">
        <v>105</v>
      </c>
      <c r="D20" s="23" t="s">
        <v>280</v>
      </c>
      <c r="E20" s="23" t="s">
        <v>281</v>
      </c>
      <c r="F20" s="23" t="s">
        <v>282</v>
      </c>
      <c r="G20" s="23" t="s">
        <v>178</v>
      </c>
      <c r="H20" s="23" t="s">
        <v>283</v>
      </c>
      <c r="I20" s="29" t="s">
        <v>284</v>
      </c>
      <c r="J20" s="23" t="s">
        <v>285</v>
      </c>
    </row>
    <row r="21" customFormat="false" ht="35.05" hidden="false" customHeight="false" outlineLevel="0" collapsed="false">
      <c r="A21" s="18" t="s">
        <v>286</v>
      </c>
      <c r="B21" s="9" t="s">
        <v>287</v>
      </c>
      <c r="C21" s="9" t="s">
        <v>120</v>
      </c>
      <c r="D21" s="9" t="s">
        <v>288</v>
      </c>
      <c r="E21" s="9" t="s">
        <v>289</v>
      </c>
      <c r="F21" s="9" t="s">
        <v>290</v>
      </c>
      <c r="G21" s="9" t="s">
        <v>178</v>
      </c>
      <c r="H21" s="9" t="s">
        <v>291</v>
      </c>
      <c r="I21" s="28" t="s">
        <v>292</v>
      </c>
      <c r="J21" s="9" t="s">
        <v>293</v>
      </c>
    </row>
    <row r="22" customFormat="false" ht="15" hidden="false" customHeight="false" outlineLevel="0" collapsed="false">
      <c r="A22" s="22" t="s">
        <v>294</v>
      </c>
      <c r="B22" s="23" t="s">
        <v>295</v>
      </c>
      <c r="C22" s="23" t="s">
        <v>145</v>
      </c>
      <c r="D22" s="23" t="s">
        <v>296</v>
      </c>
      <c r="E22" s="23" t="s">
        <v>297</v>
      </c>
      <c r="F22" s="23" t="s">
        <v>298</v>
      </c>
      <c r="G22" s="23" t="s">
        <v>299</v>
      </c>
      <c r="H22" s="23" t="s">
        <v>300</v>
      </c>
      <c r="I22" s="29" t="s">
        <v>301</v>
      </c>
      <c r="J22" s="23" t="s">
        <v>302</v>
      </c>
    </row>
    <row r="23" customFormat="false" ht="23.85" hidden="false" customHeight="false" outlineLevel="0" collapsed="false">
      <c r="A23" s="18" t="s">
        <v>104</v>
      </c>
      <c r="B23" s="9" t="s">
        <v>303</v>
      </c>
      <c r="C23" s="9" t="s">
        <v>105</v>
      </c>
      <c r="D23" s="9" t="s">
        <v>304</v>
      </c>
      <c r="E23" s="9" t="s">
        <v>305</v>
      </c>
      <c r="F23" s="9" t="s">
        <v>306</v>
      </c>
      <c r="G23" s="9" t="s">
        <v>178</v>
      </c>
      <c r="H23" s="9" t="s">
        <v>307</v>
      </c>
      <c r="I23" s="28" t="s">
        <v>308</v>
      </c>
      <c r="J23" s="9" t="s">
        <v>309</v>
      </c>
    </row>
    <row r="24" customFormat="false" ht="23.85" hidden="false" customHeight="false" outlineLevel="0" collapsed="false">
      <c r="A24" s="22" t="s">
        <v>310</v>
      </c>
      <c r="B24" s="23" t="s">
        <v>311</v>
      </c>
      <c r="C24" s="23" t="s">
        <v>105</v>
      </c>
      <c r="D24" s="23" t="s">
        <v>312</v>
      </c>
      <c r="E24" s="23" t="s">
        <v>313</v>
      </c>
      <c r="F24" s="23" t="s">
        <v>314</v>
      </c>
      <c r="G24" s="23" t="s">
        <v>178</v>
      </c>
      <c r="H24" s="23" t="s">
        <v>315</v>
      </c>
      <c r="I24" s="29" t="s">
        <v>316</v>
      </c>
      <c r="J24" s="23" t="s">
        <v>317</v>
      </c>
    </row>
    <row r="25" customFormat="false" ht="15" hidden="false" customHeight="false" outlineLevel="0" collapsed="false">
      <c r="A25" s="18" t="s">
        <v>122</v>
      </c>
      <c r="B25" s="9" t="s">
        <v>318</v>
      </c>
      <c r="C25" s="9" t="s">
        <v>105</v>
      </c>
      <c r="D25" s="9" t="s">
        <v>319</v>
      </c>
      <c r="E25" s="9" t="s">
        <v>320</v>
      </c>
      <c r="F25" s="9" t="s">
        <v>321</v>
      </c>
      <c r="G25" s="9" t="s">
        <v>178</v>
      </c>
      <c r="H25" s="9" t="s">
        <v>322</v>
      </c>
      <c r="I25" s="28" t="s">
        <v>323</v>
      </c>
      <c r="J25" s="9" t="s">
        <v>324</v>
      </c>
    </row>
    <row r="26" customFormat="false" ht="15" hidden="false" customHeight="false" outlineLevel="0" collapsed="false">
      <c r="A26" s="22" t="s">
        <v>130</v>
      </c>
      <c r="B26" s="23" t="s">
        <v>325</v>
      </c>
      <c r="C26" s="23" t="s">
        <v>105</v>
      </c>
      <c r="D26" s="23" t="s">
        <v>326</v>
      </c>
      <c r="E26" s="23" t="s">
        <v>327</v>
      </c>
      <c r="F26" s="23" t="s">
        <v>328</v>
      </c>
      <c r="G26" s="23" t="s">
        <v>178</v>
      </c>
      <c r="H26" s="23" t="s">
        <v>329</v>
      </c>
      <c r="I26" s="29" t="s">
        <v>330</v>
      </c>
      <c r="J26" s="23" t="s">
        <v>331</v>
      </c>
    </row>
    <row r="27" customFormat="false" ht="23.85" hidden="false" customHeight="false" outlineLevel="0" collapsed="false">
      <c r="A27" s="18" t="s">
        <v>147</v>
      </c>
      <c r="B27" s="9" t="s">
        <v>332</v>
      </c>
      <c r="C27" s="9" t="s">
        <v>148</v>
      </c>
      <c r="D27" s="9" t="s">
        <v>333</v>
      </c>
      <c r="E27" s="9" t="s">
        <v>334</v>
      </c>
      <c r="F27" s="9" t="s">
        <v>335</v>
      </c>
      <c r="G27" s="9" t="s">
        <v>178</v>
      </c>
      <c r="H27" s="9" t="s">
        <v>336</v>
      </c>
      <c r="I27" s="28" t="s">
        <v>337</v>
      </c>
      <c r="J27" s="9" t="s">
        <v>338</v>
      </c>
    </row>
    <row r="28" customFormat="false" ht="23.85" hidden="false" customHeight="false" outlineLevel="0" collapsed="false">
      <c r="A28" s="22" t="s">
        <v>127</v>
      </c>
      <c r="B28" s="23" t="s">
        <v>339</v>
      </c>
      <c r="C28" s="23" t="s">
        <v>128</v>
      </c>
      <c r="D28" s="23" t="s">
        <v>340</v>
      </c>
      <c r="E28" s="23" t="s">
        <v>341</v>
      </c>
      <c r="F28" s="23" t="s">
        <v>342</v>
      </c>
      <c r="G28" s="23" t="s">
        <v>343</v>
      </c>
      <c r="H28" s="23" t="s">
        <v>336</v>
      </c>
      <c r="I28" s="29" t="s">
        <v>344</v>
      </c>
      <c r="J28" s="23" t="s">
        <v>345</v>
      </c>
    </row>
    <row r="29" customFormat="false" ht="15" hidden="false" customHeight="false" outlineLevel="0" collapsed="false">
      <c r="A29" s="18" t="s">
        <v>140</v>
      </c>
      <c r="B29" s="9" t="s">
        <v>346</v>
      </c>
      <c r="C29" s="9" t="s">
        <v>128</v>
      </c>
      <c r="D29" s="9" t="s">
        <v>347</v>
      </c>
      <c r="E29" s="9" t="s">
        <v>341</v>
      </c>
      <c r="F29" s="9" t="s">
        <v>348</v>
      </c>
      <c r="G29" s="9" t="s">
        <v>349</v>
      </c>
      <c r="H29" s="9" t="s">
        <v>336</v>
      </c>
      <c r="I29" s="28" t="s">
        <v>350</v>
      </c>
      <c r="J29" s="9" t="s">
        <v>351</v>
      </c>
    </row>
    <row r="30" customFormat="false" ht="23.85" hidden="false" customHeight="false" outlineLevel="0" collapsed="false">
      <c r="A30" s="22" t="s">
        <v>142</v>
      </c>
      <c r="B30" s="23" t="s">
        <v>352</v>
      </c>
      <c r="C30" s="23" t="s">
        <v>128</v>
      </c>
      <c r="D30" s="23" t="s">
        <v>353</v>
      </c>
      <c r="E30" s="23" t="s">
        <v>341</v>
      </c>
      <c r="F30" s="23" t="s">
        <v>348</v>
      </c>
      <c r="G30" s="23" t="s">
        <v>354</v>
      </c>
      <c r="H30" s="23" t="s">
        <v>336</v>
      </c>
      <c r="I30" s="29" t="s">
        <v>355</v>
      </c>
      <c r="J30" s="23" t="s">
        <v>356</v>
      </c>
    </row>
    <row r="31" customFormat="false" ht="15" hidden="false" customHeight="false" outlineLevel="0" collapsed="false">
      <c r="A31" s="18" t="s">
        <v>135</v>
      </c>
      <c r="B31" s="9" t="s">
        <v>357</v>
      </c>
      <c r="C31" s="9" t="s">
        <v>128</v>
      </c>
      <c r="D31" s="9" t="s">
        <v>358</v>
      </c>
      <c r="E31" s="9" t="s">
        <v>341</v>
      </c>
      <c r="F31" s="9" t="s">
        <v>342</v>
      </c>
      <c r="G31" s="9" t="s">
        <v>359</v>
      </c>
      <c r="H31" s="9" t="s">
        <v>336</v>
      </c>
      <c r="I31" s="28" t="s">
        <v>360</v>
      </c>
      <c r="J31" s="9" t="s">
        <v>361</v>
      </c>
    </row>
    <row r="32" customFormat="false" ht="23.85" hidden="false" customHeight="false" outlineLevel="0" collapsed="false">
      <c r="A32" s="22" t="s">
        <v>116</v>
      </c>
      <c r="B32" s="23" t="s">
        <v>362</v>
      </c>
      <c r="C32" s="23" t="s">
        <v>117</v>
      </c>
      <c r="D32" s="23" t="s">
        <v>363</v>
      </c>
      <c r="E32" s="23" t="s">
        <v>364</v>
      </c>
      <c r="F32" s="23" t="s">
        <v>365</v>
      </c>
      <c r="G32" s="23" t="s">
        <v>366</v>
      </c>
      <c r="H32" s="23" t="s">
        <v>336</v>
      </c>
      <c r="I32" s="29" t="s">
        <v>367</v>
      </c>
      <c r="J32" s="23" t="s">
        <v>368</v>
      </c>
    </row>
    <row r="33" customFormat="false" ht="23.85" hidden="false" customHeight="false" outlineLevel="0" collapsed="false">
      <c r="A33" s="18" t="s">
        <v>369</v>
      </c>
      <c r="B33" s="9" t="s">
        <v>370</v>
      </c>
      <c r="C33" s="9" t="s">
        <v>371</v>
      </c>
      <c r="D33" s="9" t="s">
        <v>372</v>
      </c>
      <c r="E33" s="9" t="s">
        <v>373</v>
      </c>
      <c r="F33" s="9" t="s">
        <v>314</v>
      </c>
      <c r="G33" s="9" t="s">
        <v>178</v>
      </c>
      <c r="H33" s="9" t="s">
        <v>374</v>
      </c>
      <c r="I33" s="28" t="s">
        <v>375</v>
      </c>
      <c r="J33" s="9" t="s">
        <v>376</v>
      </c>
    </row>
    <row r="34" customFormat="false" ht="23.85" hidden="false" customHeight="false" outlineLevel="0" collapsed="false">
      <c r="A34" s="22" t="s">
        <v>377</v>
      </c>
      <c r="B34" s="23" t="s">
        <v>378</v>
      </c>
      <c r="C34" s="23" t="s">
        <v>379</v>
      </c>
      <c r="D34" s="23" t="s">
        <v>380</v>
      </c>
      <c r="E34" s="23" t="s">
        <v>381</v>
      </c>
      <c r="F34" s="23" t="s">
        <v>382</v>
      </c>
      <c r="G34" s="23" t="s">
        <v>178</v>
      </c>
      <c r="H34" s="23" t="s">
        <v>383</v>
      </c>
      <c r="I34" s="29" t="s">
        <v>384</v>
      </c>
      <c r="J34" s="23" t="s">
        <v>385</v>
      </c>
    </row>
    <row r="35" customFormat="false" ht="23.85" hidden="false" customHeight="false" outlineLevel="0" collapsed="false">
      <c r="A35" s="18" t="s">
        <v>386</v>
      </c>
      <c r="B35" s="9" t="s">
        <v>387</v>
      </c>
      <c r="C35" s="9" t="s">
        <v>231</v>
      </c>
      <c r="D35" s="9" t="s">
        <v>388</v>
      </c>
      <c r="E35" s="9" t="s">
        <v>178</v>
      </c>
      <c r="F35" s="9" t="s">
        <v>219</v>
      </c>
      <c r="G35" s="9" t="s">
        <v>178</v>
      </c>
      <c r="H35" s="9" t="s">
        <v>389</v>
      </c>
      <c r="I35" s="28" t="s">
        <v>390</v>
      </c>
      <c r="J35" s="9" t="s">
        <v>391</v>
      </c>
    </row>
    <row r="36" customFormat="false" ht="23.85" hidden="false" customHeight="false" outlineLevel="0" collapsed="false">
      <c r="A36" s="22" t="s">
        <v>392</v>
      </c>
      <c r="B36" s="23" t="s">
        <v>393</v>
      </c>
      <c r="C36" s="23" t="s">
        <v>231</v>
      </c>
      <c r="D36" s="23" t="s">
        <v>394</v>
      </c>
      <c r="E36" s="23" t="s">
        <v>178</v>
      </c>
      <c r="F36" s="23" t="s">
        <v>219</v>
      </c>
      <c r="G36" s="23" t="s">
        <v>178</v>
      </c>
      <c r="H36" s="23" t="s">
        <v>244</v>
      </c>
      <c r="I36" s="29" t="s">
        <v>395</v>
      </c>
      <c r="J36" s="23" t="s">
        <v>396</v>
      </c>
    </row>
    <row r="37" customFormat="false" ht="23.85" hidden="false" customHeight="false" outlineLevel="0" collapsed="false">
      <c r="A37" s="18" t="s">
        <v>397</v>
      </c>
      <c r="B37" s="9" t="s">
        <v>398</v>
      </c>
      <c r="C37" s="9" t="s">
        <v>231</v>
      </c>
      <c r="D37" s="9" t="s">
        <v>399</v>
      </c>
      <c r="E37" s="9" t="s">
        <v>178</v>
      </c>
      <c r="F37" s="9" t="s">
        <v>219</v>
      </c>
      <c r="G37" s="9" t="s">
        <v>178</v>
      </c>
      <c r="H37" s="9" t="s">
        <v>244</v>
      </c>
      <c r="I37" s="28" t="s">
        <v>400</v>
      </c>
      <c r="J37" s="9" t="s">
        <v>401</v>
      </c>
    </row>
    <row r="38" customFormat="false" ht="35.05" hidden="false" customHeight="false" outlineLevel="0" collapsed="false">
      <c r="A38" s="22" t="s">
        <v>402</v>
      </c>
      <c r="B38" s="23" t="s">
        <v>403</v>
      </c>
      <c r="C38" s="23" t="s">
        <v>231</v>
      </c>
      <c r="D38" s="23" t="s">
        <v>404</v>
      </c>
      <c r="E38" s="23" t="s">
        <v>178</v>
      </c>
      <c r="F38" s="23" t="s">
        <v>219</v>
      </c>
      <c r="G38" s="23" t="s">
        <v>178</v>
      </c>
      <c r="H38" s="23" t="s">
        <v>244</v>
      </c>
      <c r="I38" s="29" t="s">
        <v>405</v>
      </c>
      <c r="J38" s="23" t="s">
        <v>406</v>
      </c>
    </row>
    <row r="39" customFormat="false" ht="23.85" hidden="false" customHeight="false" outlineLevel="0" collapsed="false">
      <c r="A39" s="18" t="s">
        <v>407</v>
      </c>
      <c r="B39" s="9" t="s">
        <v>408</v>
      </c>
      <c r="C39" s="9" t="s">
        <v>409</v>
      </c>
      <c r="D39" s="9" t="s">
        <v>410</v>
      </c>
      <c r="E39" s="9" t="s">
        <v>411</v>
      </c>
      <c r="F39" s="9" t="s">
        <v>219</v>
      </c>
      <c r="G39" s="9" t="s">
        <v>178</v>
      </c>
      <c r="H39" s="9" t="s">
        <v>244</v>
      </c>
      <c r="I39" s="28" t="s">
        <v>412</v>
      </c>
      <c r="J39" s="9" t="s">
        <v>413</v>
      </c>
    </row>
    <row r="40" customFormat="false" ht="23.85" hidden="false" customHeight="false" outlineLevel="0" collapsed="false">
      <c r="A40" s="22" t="s">
        <v>414</v>
      </c>
      <c r="B40" s="23" t="s">
        <v>415</v>
      </c>
      <c r="C40" s="23" t="s">
        <v>416</v>
      </c>
      <c r="D40" s="23" t="s">
        <v>417</v>
      </c>
      <c r="E40" s="23" t="s">
        <v>225</v>
      </c>
      <c r="F40" s="23" t="s">
        <v>219</v>
      </c>
      <c r="G40" s="23" t="s">
        <v>178</v>
      </c>
      <c r="H40" s="23" t="s">
        <v>418</v>
      </c>
      <c r="I40" s="29" t="s">
        <v>419</v>
      </c>
      <c r="J40" s="23" t="s">
        <v>420</v>
      </c>
    </row>
  </sheetData>
  <autoFilter ref="A4:J40"/>
  <hyperlinks>
    <hyperlink ref="I5" r:id="rId1" display="https://www.nin.res.in/ebooks/IFCT2017.pdf"/>
    <hyperlink ref="I6" r:id="rId2" display="https://zenodo.org/records/7088653"/>
    <hyperlink ref="I7" r:id="rId3" display="https://www.nin.res.in/"/>
    <hyperlink ref="I8" r:id="rId4" display="https://www.anuvaad.org.in/indian-nutrient-databank/"/>
    <hyperlink ref="I9" r:id="rId5" display="https://github.com/lindsayjaacks/Indian-Nutrient-Databank-INDB-"/>
    <hyperlink ref="I10" r:id="rId6" display="https://play.google.com/store/apps/details?id=com.nin20.nin2byo2i"/>
    <hyperlink ref="I11" r:id="rId7" display="https://www.nin.res.in/"/>
    <hyperlink ref="I12" r:id="rId8" display="https://nin.res.in/dietaryguidelines/pdfjs/locale/DGI_2024.pdf"/>
    <hyperlink ref="I13" r:id="rId9" display="https://fssai.gov.in/upload/uploadfiles/files/Comp_Labelling%20Display_Version%20VII_03042025.pdf"/>
    <hyperlink ref="I14" r:id="rId10" display="https://www.fssai.gov.in/upload/advisories/2022/03/6243ef28079ceDirection_Nutra_30_03_2022.pdf"/>
    <hyperlink ref="I15" r:id="rId11" display="https://www.fssai.gov.in/"/>
    <hyperlink ref="I16" r:id="rId12" display="http://rchiips.org/nfhs/"/>
    <hyperlink ref="I17" r:id="rId13" display="https://pubmed.ncbi.nlm.nih.gov/35875218/"/>
    <hyperlink ref="I18" r:id="rId14" display="https://fdc.nal.usda.gov/"/>
    <hyperlink ref="I19" r:id="rId15" display="https://agdatacommons.nal.usda.gov/articles/dataset/USDA_Table_of_Nutrient_Retention_Factors_Release_6_2007_/24660888"/>
    <hyperlink ref="I20" r:id="rId16" display="https://www.gov.uk/government/publications/composition-of-foods-integrated-dataset-cofid"/>
    <hyperlink ref="I21" r:id="rId17" display="https://www.fao.org/food-composition/en/"/>
    <hyperlink ref="I22" r:id="rId18" display="https://www.fao.org/"/>
    <hyperlink ref="I23" r:id="rId19" display="https://www.foodstandards.gov.au/"/>
    <hyperlink ref="I24" r:id="rId20" display="https://frida.fooddata.dk/"/>
    <hyperlink ref="I25" r:id="rId21" display="https://www.matvaretabellen.no/"/>
    <hyperlink ref="I26" r:id="rId22" display="https://food-nutrition.canada.ca/cnf-fce/"/>
    <hyperlink ref="I27" r:id="rId23" display="https://world.openfoodfacts.org/data"/>
    <hyperlink ref="I28" r:id="rId24" display="https://www.nutritionix.com/business/api"/>
    <hyperlink ref="I29" r:id="rId25" display="https://www.edamam.com/"/>
    <hyperlink ref="I30" r:id="rId26" display="https://spoonacular.com/food-api"/>
    <hyperlink ref="I31" r:id="rId27" display="https://platform.fatsecret.com/"/>
    <hyperlink ref="I32" r:id="rId28" display="https://www.healthifyme.com/"/>
    <hyperlink ref="I33" r:id="rId29" display="https://github.com/AI4Bharat/IndicXlit"/>
    <hyperlink ref="I34" r:id="rId30" display="https://universe.roboflow.com/indianfood/indian_food-pwzlc"/>
    <hyperlink ref="I35" r:id="rId31" display="https://www.fda.gov/medical-devices/medical-devices-news-and-events/town-hall-general-wellness-policy-low-risk-devices-final-guidance-02112026"/>
    <hyperlink ref="I36" r:id="rId32" display="https://ec.europa.eu/food/safety/labelling-and-nutrition/nutrition-and-health-claims_en"/>
    <hyperlink ref="I37" r:id="rId33" display="https://www.gov.uk/government/collections/software-and-artificial-intelligence-ai-as-a-medical-device"/>
    <hyperlink ref="I38" r:id="rId34" display="https://www.tga.gov.au/how-we-regulate/manufacturing/medical-devices/manufacturer-guidance-specific-types-medical-devices/software-based-medical-devices"/>
    <hyperlink ref="I39" r:id="rId35" display="https://dsld.od.nih.gov/"/>
    <hyperlink ref="I40" r:id="rId36" display="https://www.meity.gov.in/static/uploads/2024/06/2bf1f0e9f04e6fb4f8fef35e82c42aa5.pdf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7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4" min="4" style="0" width="20"/>
    <col collapsed="false" customWidth="true" hidden="false" outlineLevel="0" max="5" min="5" style="0" width="11"/>
    <col collapsed="false" customWidth="true" hidden="false" outlineLevel="0" max="7" min="6" style="0" width="56"/>
    <col collapsed="false" customWidth="true" hidden="false" outlineLevel="0" max="8" min="8" style="0" width="44"/>
    <col collapsed="false" customWidth="true" hidden="false" outlineLevel="0" max="9" min="9" style="0" width="14"/>
    <col collapsed="false" customWidth="true" hidden="false" outlineLevel="0" max="10" min="10" style="0" width="13"/>
  </cols>
  <sheetData>
    <row r="1" customFormat="false" ht="17.35" hidden="false" customHeight="false" outlineLevel="0" collapsed="false">
      <c r="A1" s="6" t="s">
        <v>421</v>
      </c>
    </row>
    <row r="2" customFormat="false" ht="15" hidden="false" customHeight="false" outlineLevel="0" collapsed="false">
      <c r="A2" s="2" t="s">
        <v>422</v>
      </c>
    </row>
    <row r="4" customFormat="false" ht="30" hidden="false" customHeight="true" outlineLevel="0" collapsed="false">
      <c r="A4" s="7" t="s">
        <v>73</v>
      </c>
      <c r="B4" s="7" t="s">
        <v>160</v>
      </c>
      <c r="C4" s="7" t="s">
        <v>423</v>
      </c>
      <c r="D4" s="7" t="s">
        <v>424</v>
      </c>
      <c r="E4" s="7" t="s">
        <v>425</v>
      </c>
      <c r="F4" s="7" t="s">
        <v>426</v>
      </c>
      <c r="G4" s="7" t="s">
        <v>427</v>
      </c>
      <c r="H4" s="7" t="s">
        <v>428</v>
      </c>
      <c r="I4" s="7" t="s">
        <v>429</v>
      </c>
      <c r="J4" s="7" t="s">
        <v>430</v>
      </c>
    </row>
    <row r="5" customFormat="false" ht="35.05" hidden="false" customHeight="false" outlineLevel="0" collapsed="false">
      <c r="A5" s="18" t="s">
        <v>147</v>
      </c>
      <c r="B5" s="9" t="s">
        <v>431</v>
      </c>
      <c r="C5" s="9" t="s">
        <v>432</v>
      </c>
      <c r="D5" s="9" t="s">
        <v>433</v>
      </c>
      <c r="E5" s="30" t="s">
        <v>434</v>
      </c>
      <c r="F5" s="9" t="s">
        <v>435</v>
      </c>
      <c r="G5" s="9" t="s">
        <v>436</v>
      </c>
      <c r="H5" s="9" t="s">
        <v>437</v>
      </c>
      <c r="I5" s="9" t="s">
        <v>438</v>
      </c>
      <c r="J5" s="31" t="s">
        <v>439</v>
      </c>
    </row>
    <row r="6" customFormat="false" ht="35.05" hidden="false" customHeight="false" outlineLevel="0" collapsed="false">
      <c r="A6" s="22" t="s">
        <v>440</v>
      </c>
      <c r="B6" s="23" t="s">
        <v>441</v>
      </c>
      <c r="C6" s="23" t="s">
        <v>442</v>
      </c>
      <c r="D6" s="23" t="s">
        <v>443</v>
      </c>
      <c r="E6" s="30" t="s">
        <v>434</v>
      </c>
      <c r="F6" s="23" t="s">
        <v>444</v>
      </c>
      <c r="G6" s="23" t="s">
        <v>445</v>
      </c>
      <c r="H6" s="23" t="s">
        <v>446</v>
      </c>
      <c r="I6" s="23" t="s">
        <v>447</v>
      </c>
      <c r="J6" s="31" t="s">
        <v>439</v>
      </c>
    </row>
    <row r="7" customFormat="false" ht="35.05" hidden="false" customHeight="false" outlineLevel="0" collapsed="false">
      <c r="A7" s="18" t="s">
        <v>190</v>
      </c>
      <c r="B7" s="9" t="s">
        <v>448</v>
      </c>
      <c r="C7" s="9" t="s">
        <v>449</v>
      </c>
      <c r="D7" s="9" t="s">
        <v>443</v>
      </c>
      <c r="E7" s="32" t="s">
        <v>450</v>
      </c>
      <c r="F7" s="9" t="s">
        <v>451</v>
      </c>
      <c r="G7" s="9" t="s">
        <v>452</v>
      </c>
      <c r="H7" s="9" t="s">
        <v>453</v>
      </c>
      <c r="I7" s="9" t="s">
        <v>447</v>
      </c>
      <c r="J7" s="31" t="s">
        <v>439</v>
      </c>
    </row>
    <row r="8" customFormat="false" ht="35.05" hidden="false" customHeight="false" outlineLevel="0" collapsed="false">
      <c r="A8" s="22" t="s">
        <v>454</v>
      </c>
      <c r="B8" s="23" t="s">
        <v>455</v>
      </c>
      <c r="C8" s="23" t="s">
        <v>442</v>
      </c>
      <c r="D8" s="23" t="s">
        <v>442</v>
      </c>
      <c r="E8" s="33" t="s">
        <v>456</v>
      </c>
      <c r="F8" s="23" t="s">
        <v>457</v>
      </c>
      <c r="G8" s="23" t="s">
        <v>458</v>
      </c>
      <c r="H8" s="23" t="s">
        <v>459</v>
      </c>
      <c r="I8" s="23" t="s">
        <v>460</v>
      </c>
      <c r="J8" s="31" t="s">
        <v>439</v>
      </c>
    </row>
    <row r="9" customFormat="false" ht="23.85" hidden="false" customHeight="false" outlineLevel="0" collapsed="false">
      <c r="A9" s="18" t="s">
        <v>173</v>
      </c>
      <c r="B9" s="9" t="s">
        <v>461</v>
      </c>
      <c r="C9" s="9" t="s">
        <v>442</v>
      </c>
      <c r="D9" s="9" t="s">
        <v>462</v>
      </c>
      <c r="E9" s="32" t="s">
        <v>450</v>
      </c>
      <c r="F9" s="9" t="s">
        <v>463</v>
      </c>
      <c r="G9" s="9" t="s">
        <v>464</v>
      </c>
      <c r="H9" s="9" t="s">
        <v>465</v>
      </c>
      <c r="I9" s="9" t="s">
        <v>447</v>
      </c>
      <c r="J9" s="31" t="s">
        <v>439</v>
      </c>
    </row>
    <row r="10" customFormat="false" ht="23.85" hidden="false" customHeight="false" outlineLevel="0" collapsed="false">
      <c r="A10" s="22" t="s">
        <v>466</v>
      </c>
      <c r="B10" s="23" t="s">
        <v>467</v>
      </c>
      <c r="C10" s="23" t="s">
        <v>442</v>
      </c>
      <c r="D10" s="23" t="s">
        <v>468</v>
      </c>
      <c r="E10" s="34" t="s">
        <v>469</v>
      </c>
      <c r="F10" s="23" t="s">
        <v>470</v>
      </c>
      <c r="G10" s="23" t="s">
        <v>471</v>
      </c>
      <c r="H10" s="23" t="s">
        <v>472</v>
      </c>
      <c r="I10" s="23" t="s">
        <v>438</v>
      </c>
      <c r="J10" s="31" t="s">
        <v>439</v>
      </c>
    </row>
    <row r="11" customFormat="false" ht="15" hidden="false" customHeight="false" outlineLevel="0" collapsed="false">
      <c r="A11" s="18" t="s">
        <v>278</v>
      </c>
      <c r="B11" s="9" t="s">
        <v>282</v>
      </c>
      <c r="C11" s="9" t="s">
        <v>442</v>
      </c>
      <c r="D11" s="9" t="s">
        <v>473</v>
      </c>
      <c r="E11" s="34" t="s">
        <v>469</v>
      </c>
      <c r="F11" s="9" t="s">
        <v>474</v>
      </c>
      <c r="G11" s="9" t="s">
        <v>475</v>
      </c>
      <c r="H11" s="9" t="s">
        <v>476</v>
      </c>
      <c r="I11" s="9" t="s">
        <v>438</v>
      </c>
      <c r="J11" s="31" t="s">
        <v>439</v>
      </c>
    </row>
    <row r="12" customFormat="false" ht="15" hidden="false" customHeight="false" outlineLevel="0" collapsed="false">
      <c r="A12" s="22" t="s">
        <v>477</v>
      </c>
      <c r="B12" s="23" t="s">
        <v>306</v>
      </c>
      <c r="C12" s="23" t="s">
        <v>442</v>
      </c>
      <c r="D12" s="23" t="s">
        <v>473</v>
      </c>
      <c r="E12" s="34" t="s">
        <v>469</v>
      </c>
      <c r="F12" s="23" t="s">
        <v>474</v>
      </c>
      <c r="G12" s="23" t="s">
        <v>478</v>
      </c>
      <c r="H12" s="23" t="s">
        <v>479</v>
      </c>
      <c r="I12" s="23" t="s">
        <v>438</v>
      </c>
      <c r="J12" s="31" t="s">
        <v>439</v>
      </c>
    </row>
    <row r="13" customFormat="false" ht="23.85" hidden="false" customHeight="false" outlineLevel="0" collapsed="false">
      <c r="A13" s="18" t="s">
        <v>480</v>
      </c>
      <c r="B13" s="9" t="s">
        <v>481</v>
      </c>
      <c r="C13" s="9" t="s">
        <v>442</v>
      </c>
      <c r="D13" s="9" t="s">
        <v>473</v>
      </c>
      <c r="E13" s="34" t="s">
        <v>469</v>
      </c>
      <c r="F13" s="9" t="s">
        <v>474</v>
      </c>
      <c r="G13" s="9" t="s">
        <v>482</v>
      </c>
      <c r="H13" s="9" t="s">
        <v>483</v>
      </c>
      <c r="I13" s="9" t="s">
        <v>438</v>
      </c>
      <c r="J13" s="31" t="s">
        <v>439</v>
      </c>
    </row>
    <row r="14" customFormat="false" ht="15" hidden="false" customHeight="false" outlineLevel="0" collapsed="false">
      <c r="A14" s="22" t="s">
        <v>286</v>
      </c>
      <c r="B14" s="23" t="s">
        <v>290</v>
      </c>
      <c r="C14" s="23" t="s">
        <v>442</v>
      </c>
      <c r="D14" s="23" t="s">
        <v>432</v>
      </c>
      <c r="E14" s="34" t="s">
        <v>469</v>
      </c>
      <c r="F14" s="23" t="s">
        <v>484</v>
      </c>
      <c r="G14" s="23" t="s">
        <v>485</v>
      </c>
      <c r="H14" s="23" t="s">
        <v>486</v>
      </c>
      <c r="I14" s="23" t="s">
        <v>438</v>
      </c>
      <c r="J14" s="31" t="s">
        <v>439</v>
      </c>
    </row>
    <row r="15" customFormat="false" ht="23.85" hidden="false" customHeight="false" outlineLevel="0" collapsed="false">
      <c r="A15" s="18" t="s">
        <v>487</v>
      </c>
      <c r="B15" s="9" t="s">
        <v>488</v>
      </c>
      <c r="C15" s="9" t="s">
        <v>442</v>
      </c>
      <c r="D15" s="9" t="s">
        <v>489</v>
      </c>
      <c r="E15" s="34" t="s">
        <v>469</v>
      </c>
      <c r="F15" s="9" t="s">
        <v>490</v>
      </c>
      <c r="G15" s="9" t="s">
        <v>491</v>
      </c>
      <c r="H15" s="9" t="s">
        <v>492</v>
      </c>
      <c r="I15" s="9" t="s">
        <v>447</v>
      </c>
      <c r="J15" s="31" t="s">
        <v>439</v>
      </c>
    </row>
    <row r="16" customFormat="false" ht="23.85" hidden="false" customHeight="false" outlineLevel="0" collapsed="false">
      <c r="A16" s="22" t="s">
        <v>493</v>
      </c>
      <c r="B16" s="23" t="s">
        <v>298</v>
      </c>
      <c r="C16" s="23" t="s">
        <v>442</v>
      </c>
      <c r="D16" s="23" t="s">
        <v>494</v>
      </c>
      <c r="E16" s="34" t="s">
        <v>469</v>
      </c>
      <c r="F16" s="23" t="s">
        <v>495</v>
      </c>
      <c r="G16" s="23" t="s">
        <v>496</v>
      </c>
      <c r="H16" s="23" t="s">
        <v>497</v>
      </c>
      <c r="I16" s="23" t="s">
        <v>438</v>
      </c>
      <c r="J16" s="31" t="s">
        <v>439</v>
      </c>
    </row>
    <row r="17" customFormat="false" ht="23.85" hidden="false" customHeight="false" outlineLevel="0" collapsed="false">
      <c r="A17" s="18" t="s">
        <v>498</v>
      </c>
      <c r="B17" s="9" t="s">
        <v>499</v>
      </c>
      <c r="C17" s="9" t="s">
        <v>500</v>
      </c>
      <c r="D17" s="9" t="s">
        <v>501</v>
      </c>
      <c r="E17" s="30" t="s">
        <v>434</v>
      </c>
      <c r="F17" s="9" t="s">
        <v>502</v>
      </c>
      <c r="G17" s="9" t="s">
        <v>503</v>
      </c>
      <c r="H17" s="9" t="s">
        <v>504</v>
      </c>
      <c r="I17" s="9" t="s">
        <v>447</v>
      </c>
      <c r="J17" s="31" t="s">
        <v>439</v>
      </c>
    </row>
    <row r="18" customFormat="false" ht="23.85" hidden="false" customHeight="false" outlineLevel="0" collapsed="false">
      <c r="A18" s="22" t="s">
        <v>505</v>
      </c>
      <c r="B18" s="23" t="s">
        <v>342</v>
      </c>
      <c r="C18" s="23" t="s">
        <v>442</v>
      </c>
      <c r="D18" s="23" t="s">
        <v>506</v>
      </c>
      <c r="E18" s="33" t="s">
        <v>456</v>
      </c>
      <c r="F18" s="23" t="s">
        <v>507</v>
      </c>
      <c r="G18" s="23" t="s">
        <v>508</v>
      </c>
      <c r="H18" s="23" t="s">
        <v>509</v>
      </c>
      <c r="I18" s="23" t="s">
        <v>447</v>
      </c>
      <c r="J18" s="31" t="s">
        <v>439</v>
      </c>
    </row>
    <row r="19" customFormat="false" ht="15" hidden="false" customHeight="false" outlineLevel="0" collapsed="false">
      <c r="A19" s="18" t="s">
        <v>510</v>
      </c>
      <c r="B19" s="9" t="s">
        <v>511</v>
      </c>
      <c r="C19" s="9" t="s">
        <v>442</v>
      </c>
      <c r="D19" s="9" t="s">
        <v>432</v>
      </c>
      <c r="E19" s="34" t="s">
        <v>469</v>
      </c>
      <c r="F19" s="9" t="s">
        <v>512</v>
      </c>
      <c r="G19" s="9" t="s">
        <v>513</v>
      </c>
      <c r="H19" s="9" t="s">
        <v>514</v>
      </c>
      <c r="I19" s="9" t="s">
        <v>438</v>
      </c>
      <c r="J19" s="31" t="s">
        <v>439</v>
      </c>
    </row>
    <row r="20" customFormat="false" ht="23.85" hidden="false" customHeight="false" outlineLevel="0" collapsed="false">
      <c r="A20" s="22" t="s">
        <v>377</v>
      </c>
      <c r="B20" s="23" t="s">
        <v>515</v>
      </c>
      <c r="C20" s="23" t="s">
        <v>516</v>
      </c>
      <c r="D20" s="23" t="s">
        <v>516</v>
      </c>
      <c r="E20" s="33" t="s">
        <v>456</v>
      </c>
      <c r="F20" s="23" t="s">
        <v>517</v>
      </c>
      <c r="G20" s="23" t="s">
        <v>518</v>
      </c>
      <c r="H20" s="23" t="s">
        <v>519</v>
      </c>
      <c r="I20" s="23" t="s">
        <v>438</v>
      </c>
      <c r="J20" s="31" t="s">
        <v>439</v>
      </c>
    </row>
    <row r="22" customFormat="false" ht="15" hidden="false" customHeight="false" outlineLevel="0" collapsed="false">
      <c r="A22" s="11" t="s">
        <v>520</v>
      </c>
      <c r="B22" s="11" t="n">
        <f aca="false">COUNTIF(J5:J20,"Not started")</f>
        <v>16</v>
      </c>
    </row>
    <row r="23" customFormat="false" ht="15" hidden="false" customHeight="false" outlineLevel="0" collapsed="false">
      <c r="A23" s="11" t="s">
        <v>521</v>
      </c>
      <c r="B23" s="11" t="n">
        <f aca="false">SUMPRODUCT((E5:E20="CRITICAL")*(J5:J20&lt;&gt;"Closed"))</f>
        <v>3</v>
      </c>
    </row>
  </sheetData>
  <autoFilter ref="A4:J2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68"/>
    <col collapsed="false" customWidth="true" hidden="false" outlineLevel="0" max="3" min="3" style="0" width="26"/>
    <col collapsed="false" customWidth="true" hidden="false" outlineLevel="0" max="4" min="4" style="0" width="20"/>
    <col collapsed="false" customWidth="true" hidden="false" outlineLevel="0" max="5" min="5" style="0" width="22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9" min="9" style="0" width="58"/>
  </cols>
  <sheetData>
    <row r="1" customFormat="false" ht="17.35" hidden="false" customHeight="false" outlineLevel="0" collapsed="false">
      <c r="A1" s="6" t="s">
        <v>522</v>
      </c>
    </row>
    <row r="2" customFormat="false" ht="15" hidden="false" customHeight="false" outlineLevel="0" collapsed="false">
      <c r="A2" s="2" t="s">
        <v>523</v>
      </c>
    </row>
    <row r="4" customFormat="false" ht="25.5" hidden="false" customHeight="true" outlineLevel="0" collapsed="false">
      <c r="A4" s="7" t="s">
        <v>524</v>
      </c>
      <c r="B4" s="7" t="s">
        <v>525</v>
      </c>
      <c r="C4" s="7" t="s">
        <v>526</v>
      </c>
      <c r="D4" s="7" t="s">
        <v>527</v>
      </c>
      <c r="E4" s="7" t="s">
        <v>429</v>
      </c>
      <c r="F4" s="7" t="s">
        <v>528</v>
      </c>
      <c r="G4" s="7" t="s">
        <v>430</v>
      </c>
      <c r="H4" s="7" t="s">
        <v>529</v>
      </c>
      <c r="I4" s="7" t="s">
        <v>530</v>
      </c>
    </row>
    <row r="5" customFormat="false" ht="23.85" hidden="false" customHeight="false" outlineLevel="0" collapsed="false">
      <c r="A5" s="35" t="n">
        <v>1</v>
      </c>
      <c r="B5" s="18" t="s">
        <v>531</v>
      </c>
      <c r="C5" s="9" t="s">
        <v>532</v>
      </c>
      <c r="D5" s="9" t="s">
        <v>533</v>
      </c>
      <c r="E5" s="9" t="s">
        <v>447</v>
      </c>
      <c r="F5" s="9" t="s">
        <v>534</v>
      </c>
      <c r="G5" s="36" t="s">
        <v>439</v>
      </c>
      <c r="H5" s="9"/>
      <c r="I5" s="9" t="s">
        <v>535</v>
      </c>
    </row>
    <row r="6" customFormat="false" ht="23.85" hidden="false" customHeight="false" outlineLevel="0" collapsed="false">
      <c r="A6" s="37" t="n">
        <v>2</v>
      </c>
      <c r="B6" s="22" t="s">
        <v>536</v>
      </c>
      <c r="C6" s="23" t="s">
        <v>537</v>
      </c>
      <c r="D6" s="23" t="s">
        <v>538</v>
      </c>
      <c r="E6" s="23" t="s">
        <v>447</v>
      </c>
      <c r="F6" s="23" t="s">
        <v>534</v>
      </c>
      <c r="G6" s="36" t="s">
        <v>439</v>
      </c>
      <c r="H6" s="23"/>
      <c r="I6" s="23" t="s">
        <v>539</v>
      </c>
    </row>
    <row r="7" customFormat="false" ht="23.85" hidden="false" customHeight="false" outlineLevel="0" collapsed="false">
      <c r="A7" s="35" t="n">
        <v>3</v>
      </c>
      <c r="B7" s="18" t="s">
        <v>540</v>
      </c>
      <c r="C7" s="9" t="s">
        <v>537</v>
      </c>
      <c r="D7" s="9" t="s">
        <v>541</v>
      </c>
      <c r="E7" s="9" t="s">
        <v>438</v>
      </c>
      <c r="F7" s="9" t="s">
        <v>534</v>
      </c>
      <c r="G7" s="36" t="s">
        <v>439</v>
      </c>
      <c r="H7" s="9"/>
      <c r="I7" s="9" t="s">
        <v>542</v>
      </c>
    </row>
    <row r="8" customFormat="false" ht="23.85" hidden="false" customHeight="false" outlineLevel="0" collapsed="false">
      <c r="A8" s="37" t="n">
        <v>4</v>
      </c>
      <c r="B8" s="22" t="s">
        <v>543</v>
      </c>
      <c r="C8" s="23" t="s">
        <v>544</v>
      </c>
      <c r="D8" s="23" t="s">
        <v>541</v>
      </c>
      <c r="E8" s="23" t="s">
        <v>438</v>
      </c>
      <c r="F8" s="23" t="s">
        <v>534</v>
      </c>
      <c r="G8" s="36" t="s">
        <v>439</v>
      </c>
      <c r="H8" s="23"/>
      <c r="I8" s="23" t="s">
        <v>545</v>
      </c>
    </row>
    <row r="9" customFormat="false" ht="23.85" hidden="false" customHeight="false" outlineLevel="0" collapsed="false">
      <c r="A9" s="35" t="n">
        <v>5</v>
      </c>
      <c r="B9" s="18" t="s">
        <v>546</v>
      </c>
      <c r="C9" s="9" t="s">
        <v>547</v>
      </c>
      <c r="D9" s="9" t="s">
        <v>541</v>
      </c>
      <c r="E9" s="9" t="s">
        <v>438</v>
      </c>
      <c r="F9" s="9" t="s">
        <v>548</v>
      </c>
      <c r="G9" s="36" t="s">
        <v>439</v>
      </c>
      <c r="H9" s="9"/>
      <c r="I9" s="9" t="s">
        <v>549</v>
      </c>
    </row>
    <row r="10" customFormat="false" ht="23.85" hidden="false" customHeight="false" outlineLevel="0" collapsed="false">
      <c r="A10" s="37" t="n">
        <v>6</v>
      </c>
      <c r="B10" s="22" t="s">
        <v>550</v>
      </c>
      <c r="C10" s="23" t="s">
        <v>551</v>
      </c>
      <c r="D10" s="23" t="s">
        <v>541</v>
      </c>
      <c r="E10" s="23" t="s">
        <v>438</v>
      </c>
      <c r="F10" s="23" t="s">
        <v>548</v>
      </c>
      <c r="G10" s="36" t="s">
        <v>439</v>
      </c>
      <c r="H10" s="23"/>
      <c r="I10" s="23" t="s">
        <v>486</v>
      </c>
    </row>
    <row r="11" customFormat="false" ht="23.85" hidden="false" customHeight="false" outlineLevel="0" collapsed="false">
      <c r="A11" s="35" t="n">
        <v>7</v>
      </c>
      <c r="B11" s="18" t="s">
        <v>552</v>
      </c>
      <c r="C11" s="9" t="s">
        <v>553</v>
      </c>
      <c r="D11" s="9" t="s">
        <v>554</v>
      </c>
      <c r="E11" s="9" t="s">
        <v>447</v>
      </c>
      <c r="F11" s="9" t="s">
        <v>555</v>
      </c>
      <c r="G11" s="36" t="s">
        <v>439</v>
      </c>
      <c r="H11" s="9"/>
      <c r="I11" s="9" t="s">
        <v>556</v>
      </c>
    </row>
    <row r="12" customFormat="false" ht="23.85" hidden="false" customHeight="false" outlineLevel="0" collapsed="false">
      <c r="A12" s="37" t="n">
        <v>8</v>
      </c>
      <c r="B12" s="22" t="s">
        <v>557</v>
      </c>
      <c r="C12" s="23" t="s">
        <v>558</v>
      </c>
      <c r="D12" s="23" t="s">
        <v>554</v>
      </c>
      <c r="E12" s="23" t="s">
        <v>559</v>
      </c>
      <c r="F12" s="23" t="s">
        <v>555</v>
      </c>
      <c r="G12" s="36" t="s">
        <v>439</v>
      </c>
      <c r="H12" s="23"/>
      <c r="I12" s="23" t="s">
        <v>560</v>
      </c>
    </row>
    <row r="13" customFormat="false" ht="15" hidden="false" customHeight="false" outlineLevel="0" collapsed="false">
      <c r="A13" s="35" t="n">
        <v>9</v>
      </c>
      <c r="B13" s="18" t="s">
        <v>561</v>
      </c>
      <c r="C13" s="9" t="s">
        <v>562</v>
      </c>
      <c r="D13" s="9" t="s">
        <v>563</v>
      </c>
      <c r="E13" s="9" t="s">
        <v>438</v>
      </c>
      <c r="F13" s="9" t="s">
        <v>564</v>
      </c>
      <c r="G13" s="36" t="s">
        <v>439</v>
      </c>
      <c r="H13" s="9"/>
      <c r="I13" s="9" t="s">
        <v>565</v>
      </c>
    </row>
    <row r="14" customFormat="false" ht="15" hidden="false" customHeight="false" outlineLevel="0" collapsed="false">
      <c r="A14" s="37" t="n">
        <v>10</v>
      </c>
      <c r="B14" s="22" t="s">
        <v>566</v>
      </c>
      <c r="C14" s="23" t="s">
        <v>147</v>
      </c>
      <c r="D14" s="23" t="s">
        <v>567</v>
      </c>
      <c r="E14" s="23" t="s">
        <v>438</v>
      </c>
      <c r="F14" s="23" t="s">
        <v>568</v>
      </c>
      <c r="G14" s="36" t="s">
        <v>439</v>
      </c>
      <c r="H14" s="23"/>
      <c r="I14" s="23" t="s">
        <v>569</v>
      </c>
    </row>
    <row r="15" customFormat="false" ht="23.85" hidden="false" customHeight="false" outlineLevel="0" collapsed="false">
      <c r="A15" s="35" t="n">
        <v>11</v>
      </c>
      <c r="B15" s="18" t="s">
        <v>570</v>
      </c>
      <c r="C15" s="9" t="s">
        <v>537</v>
      </c>
      <c r="D15" s="9" t="s">
        <v>563</v>
      </c>
      <c r="E15" s="9" t="s">
        <v>438</v>
      </c>
      <c r="F15" s="9" t="s">
        <v>571</v>
      </c>
      <c r="G15" s="36" t="s">
        <v>439</v>
      </c>
      <c r="H15" s="9" t="s">
        <v>572</v>
      </c>
      <c r="I15" s="9" t="s">
        <v>573</v>
      </c>
    </row>
    <row r="16" customFormat="false" ht="23.85" hidden="false" customHeight="false" outlineLevel="0" collapsed="false">
      <c r="A16" s="37" t="n">
        <v>12</v>
      </c>
      <c r="B16" s="22" t="s">
        <v>574</v>
      </c>
      <c r="C16" s="23" t="s">
        <v>575</v>
      </c>
      <c r="D16" s="23" t="s">
        <v>576</v>
      </c>
      <c r="E16" s="23" t="s">
        <v>447</v>
      </c>
      <c r="F16" s="23" t="s">
        <v>577</v>
      </c>
      <c r="G16" s="36" t="s">
        <v>439</v>
      </c>
      <c r="H16" s="23"/>
      <c r="I16" s="23" t="s">
        <v>578</v>
      </c>
    </row>
    <row r="17" customFormat="false" ht="23.85" hidden="false" customHeight="false" outlineLevel="0" collapsed="false">
      <c r="A17" s="35" t="n">
        <v>13</v>
      </c>
      <c r="B17" s="18" t="s">
        <v>579</v>
      </c>
      <c r="C17" s="9" t="s">
        <v>580</v>
      </c>
      <c r="D17" s="9" t="s">
        <v>581</v>
      </c>
      <c r="E17" s="9" t="s">
        <v>447</v>
      </c>
      <c r="F17" s="9" t="s">
        <v>571</v>
      </c>
      <c r="G17" s="36" t="s">
        <v>439</v>
      </c>
      <c r="H17" s="9"/>
      <c r="I17" s="9" t="s">
        <v>582</v>
      </c>
    </row>
    <row r="18" customFormat="false" ht="23.85" hidden="false" customHeight="false" outlineLevel="0" collapsed="false">
      <c r="A18" s="37" t="n">
        <v>14</v>
      </c>
      <c r="B18" s="22" t="s">
        <v>583</v>
      </c>
      <c r="C18" s="23" t="s">
        <v>584</v>
      </c>
      <c r="D18" s="23" t="s">
        <v>563</v>
      </c>
      <c r="E18" s="23" t="s">
        <v>438</v>
      </c>
      <c r="F18" s="23" t="s">
        <v>585</v>
      </c>
      <c r="G18" s="36" t="s">
        <v>439</v>
      </c>
      <c r="H18" s="23" t="s">
        <v>586</v>
      </c>
      <c r="I18" s="23" t="s">
        <v>587</v>
      </c>
    </row>
    <row r="19" customFormat="false" ht="15" hidden="false" customHeight="false" outlineLevel="0" collapsed="false">
      <c r="A19" s="35" t="n">
        <v>15</v>
      </c>
      <c r="B19" s="18" t="s">
        <v>588</v>
      </c>
      <c r="C19" s="9" t="s">
        <v>454</v>
      </c>
      <c r="D19" s="9" t="s">
        <v>538</v>
      </c>
      <c r="E19" s="9" t="s">
        <v>460</v>
      </c>
      <c r="F19" s="9" t="s">
        <v>589</v>
      </c>
      <c r="G19" s="36" t="s">
        <v>439</v>
      </c>
      <c r="H19" s="9"/>
      <c r="I19" s="9" t="s">
        <v>590</v>
      </c>
    </row>
    <row r="21" customFormat="false" ht="15" hidden="false" customHeight="false" outlineLevel="0" collapsed="false">
      <c r="B21" s="11" t="s">
        <v>591</v>
      </c>
      <c r="C21" s="11" t="n">
        <f aca="false">COUNTA(A5:A19)</f>
        <v>15</v>
      </c>
    </row>
    <row r="22" customFormat="false" ht="15" hidden="false" customHeight="false" outlineLevel="0" collapsed="false">
      <c r="B22" s="11" t="s">
        <v>592</v>
      </c>
      <c r="C22" s="11" t="n">
        <f aca="false">COUNTIF(G5:G19,"Done")</f>
        <v>0</v>
      </c>
    </row>
    <row r="23" customFormat="false" ht="15" hidden="false" customHeight="false" outlineLevel="0" collapsed="false">
      <c r="B23" s="11" t="s">
        <v>593</v>
      </c>
      <c r="C23" s="11" t="n">
        <f aca="false">COUNTIF(G5:G19,"In progress")</f>
        <v>0</v>
      </c>
    </row>
    <row r="24" customFormat="false" ht="15" hidden="false" customHeight="false" outlineLevel="0" collapsed="false">
      <c r="B24" s="11" t="s">
        <v>594</v>
      </c>
      <c r="C24" s="11" t="n">
        <f aca="false">COUNTIF(G5:G19,"Blocked")</f>
        <v>0</v>
      </c>
    </row>
    <row r="25" customFormat="false" ht="15" hidden="false" customHeight="false" outlineLevel="0" collapsed="false">
      <c r="B25" s="11" t="s">
        <v>595</v>
      </c>
      <c r="C25" s="38" t="n">
        <f aca="false">IFERROR(C22/C21,0)</f>
        <v>0</v>
      </c>
    </row>
  </sheetData>
  <dataValidations count="1">
    <dataValidation allowBlank="true" errorStyle="stop" operator="between" showDropDown="false" showErrorMessage="false" showInputMessage="false" sqref="G5:G19" type="list">
      <formula1>"Not started,In progress,Blocked,Done"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2026-08-12T05:32:16Z</dcterms:created>
  <dc:creator>openpyxl</dc:creator>
  <dc:description/>
  <dc:language>en-US</dc:language>
  <cp:lastModifiedBy/>
  <dcterms:modified xsi:type="dcterms:W3CDTF">2026-08-12T05:32:16Z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